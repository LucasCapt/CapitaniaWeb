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9020" windowHeight="1240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Sheet1!$F$1:$F$76</definedName>
  </definedNames>
  <calcPr calcId="125725"/>
</workbook>
</file>

<file path=xl/calcChain.xml><?xml version="1.0" encoding="utf-8"?>
<calcChain xmlns="http://schemas.openxmlformats.org/spreadsheetml/2006/main">
  <c r="J3" i="1"/>
  <c r="J2"/>
  <c r="J75"/>
  <c r="J74"/>
  <c r="J73"/>
  <c r="J72"/>
  <c r="J71"/>
  <c r="J69"/>
  <c r="J68"/>
  <c r="J67"/>
  <c r="J66"/>
  <c r="J65"/>
  <c r="J64"/>
  <c r="J63"/>
  <c r="J62"/>
  <c r="J61"/>
  <c r="J58"/>
  <c r="J57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3"/>
  <c r="J32"/>
  <c r="J30"/>
  <c r="J29"/>
  <c r="J26"/>
  <c r="J25"/>
  <c r="J24"/>
  <c r="J21"/>
  <c r="J20"/>
  <c r="J19"/>
  <c r="J18"/>
  <c r="J17"/>
  <c r="J16"/>
  <c r="J15"/>
  <c r="J14"/>
  <c r="J13"/>
  <c r="J12"/>
  <c r="J11"/>
  <c r="J10"/>
  <c r="J9"/>
  <c r="J8"/>
  <c r="J7"/>
  <c r="J6"/>
  <c r="J5"/>
  <c r="J4"/>
</calcChain>
</file>

<file path=xl/sharedStrings.xml><?xml version="1.0" encoding="utf-8"?>
<sst xmlns="http://schemas.openxmlformats.org/spreadsheetml/2006/main" count="2841" uniqueCount="569">
  <si>
    <t>ID</t>
  </si>
  <si>
    <t>Nome</t>
  </si>
  <si>
    <t>1020117</t>
  </si>
  <si>
    <t>CRI Fortesec "Alphaville" 1S 1E</t>
  </si>
  <si>
    <t>1118605</t>
  </si>
  <si>
    <t>CRI Ápice "MGrupo 2 Junior" 36S 1E</t>
  </si>
  <si>
    <t>1120561</t>
  </si>
  <si>
    <t>CRI Ápice "Mota Machado" 23S 1E</t>
  </si>
  <si>
    <t>1134397</t>
  </si>
  <si>
    <t>CRI Habitasec "Urbplan 4 Mezanino" 16S 1E</t>
  </si>
  <si>
    <t>1134399</t>
  </si>
  <si>
    <t>CRI Habitasec "Urbplan 4 Sênior" 15S 1E</t>
  </si>
  <si>
    <t>1149614</t>
  </si>
  <si>
    <t>CRI Ápice "MGrupo 2 Sênior" 35S 1E</t>
  </si>
  <si>
    <t>1149666</t>
  </si>
  <si>
    <t>CRI Habitasec "General Shopping 1 Parque Shopping Barueri Sênior " 18S 1E</t>
  </si>
  <si>
    <t>1149667</t>
  </si>
  <si>
    <t>CRI Habitasec "General Shopping 1 Parque Shopping Barueri Junior " 19S 1E</t>
  </si>
  <si>
    <t>1164718</t>
  </si>
  <si>
    <t>CRI Habitasec "Esser" 41S 1E</t>
  </si>
  <si>
    <t>1171280</t>
  </si>
  <si>
    <t>CRI PDG Cia Securitizadora REP 25S 1E</t>
  </si>
  <si>
    <t>1186258</t>
  </si>
  <si>
    <t>Deb Maestro Frotas 1S 1E</t>
  </si>
  <si>
    <t>1260613</t>
  </si>
  <si>
    <t>CRI Habitasec "Tecnisa Sênior" 23S 1E</t>
  </si>
  <si>
    <t>1260614</t>
  </si>
  <si>
    <t>CRI Habitasec "Tecnisa Junior" 24S 1E</t>
  </si>
  <si>
    <t>1270073</t>
  </si>
  <si>
    <t>CRI Ápice Securitizadora "AGV Sênior" 4S 1E</t>
  </si>
  <si>
    <t>1270076</t>
  </si>
  <si>
    <t>CRI Ápice Securitizadora "AGV Junior" 5S 1E</t>
  </si>
  <si>
    <t>12F0028370</t>
  </si>
  <si>
    <t>CRI Habitasec "Urbplan 3 Sênior" 12S 1E</t>
  </si>
  <si>
    <t>12L0023446</t>
  </si>
  <si>
    <t>CRI Habitasec "General Shopping 2 Outlet Premium São Paulo" 20S 1E</t>
  </si>
  <si>
    <t>1345856</t>
  </si>
  <si>
    <t>CRI Habitasec "General Shopping 3 Outlet Premium Brasília" 27S 1E</t>
  </si>
  <si>
    <t>1369760</t>
  </si>
  <si>
    <t>CRI Ápice "MGrupo" 7S 1E</t>
  </si>
  <si>
    <t>1431413</t>
  </si>
  <si>
    <t>551351</t>
  </si>
  <si>
    <t>Debênture Tecnisa 1S 1E</t>
  </si>
  <si>
    <t>551352</t>
  </si>
  <si>
    <t>Debênture Tecnisa 2S 1E</t>
  </si>
  <si>
    <t>593396</t>
  </si>
  <si>
    <t>CRI Gaia "Cipasa" 15S 4E</t>
  </si>
  <si>
    <t>610670</t>
  </si>
  <si>
    <t>CRI Habitasec "JPS" 1S 1E</t>
  </si>
  <si>
    <t>633190</t>
  </si>
  <si>
    <t>Debênture JHSF 1S 3E</t>
  </si>
  <si>
    <t>638393</t>
  </si>
  <si>
    <t>CRI Gaia "Airport Town" 21S 4E</t>
  </si>
  <si>
    <t>659140</t>
  </si>
  <si>
    <t>Debênture Fertilizantes Heringer 1S 1E</t>
  </si>
  <si>
    <t>659174</t>
  </si>
  <si>
    <t>Debêntures Brasturinvest 1S 1E</t>
  </si>
  <si>
    <t>666143</t>
  </si>
  <si>
    <t>CRI Gaia "Urbplan 1" 25S 4E</t>
  </si>
  <si>
    <t>671570</t>
  </si>
  <si>
    <t>Debênture Fertilizantes Heringer 2S 1E</t>
  </si>
  <si>
    <t>674539</t>
  </si>
  <si>
    <t>CRI Gaia "GSP" 27S 4E</t>
  </si>
  <si>
    <t>742402</t>
  </si>
  <si>
    <t>Debêntures Cemat 1S 4E</t>
  </si>
  <si>
    <t>757133</t>
  </si>
  <si>
    <t>CRI Habitasec "Urbplan 2 Sênior" 3S 1E</t>
  </si>
  <si>
    <t>757134</t>
  </si>
  <si>
    <t>CRI Habitasec "Urbplan 2 Mezanino" 4S 1E</t>
  </si>
  <si>
    <t>805170</t>
  </si>
  <si>
    <t>Debêntures CPSec 1S 1E</t>
  </si>
  <si>
    <t>826777</t>
  </si>
  <si>
    <t>826885</t>
  </si>
  <si>
    <t>CRI Habitasec "Urbplan 3 Mezanino" 13S 1E</t>
  </si>
  <si>
    <t>851485</t>
  </si>
  <si>
    <t>Debêntures MGI 1S 3E</t>
  </si>
  <si>
    <t>866296</t>
  </si>
  <si>
    <t>866297</t>
  </si>
  <si>
    <t>868525</t>
  </si>
  <si>
    <t>Debênture Triunfo 2S 4E</t>
  </si>
  <si>
    <t>875066</t>
  </si>
  <si>
    <t>892018</t>
  </si>
  <si>
    <t>Debênture Concessionária Auto Raposo Tavares 2S 2E</t>
  </si>
  <si>
    <t>895018</t>
  </si>
  <si>
    <t>899632</t>
  </si>
  <si>
    <t>905890</t>
  </si>
  <si>
    <t>Debêntures Desenvix 1S 1E</t>
  </si>
  <si>
    <t>928376</t>
  </si>
  <si>
    <t>933479</t>
  </si>
  <si>
    <t>933480</t>
  </si>
  <si>
    <t>965272</t>
  </si>
  <si>
    <t>969716</t>
  </si>
  <si>
    <t>Debêntures Concessionária Rodovias do Tietê 1S 1E</t>
  </si>
  <si>
    <t>980904</t>
  </si>
  <si>
    <t>BMG8SEN</t>
  </si>
  <si>
    <t>FIDC BMG Consignados VIII Sênior 1</t>
  </si>
  <si>
    <t>BONSUCES</t>
  </si>
  <si>
    <t>FIDC Bonsucesso Consignados VIII Sênior 1</t>
  </si>
  <si>
    <t>EXODUS12</t>
  </si>
  <si>
    <t>FIDC EXODUS I 12SE</t>
  </si>
  <si>
    <t>FICSA</t>
  </si>
  <si>
    <t>FIDC Ficsa Veículos Sênior 1</t>
  </si>
  <si>
    <t>FIDC MULTIS LEGO II</t>
  </si>
  <si>
    <t>FIDC Multisetorial Lego II Mezanino A</t>
  </si>
  <si>
    <t>FIDCLEGO</t>
  </si>
  <si>
    <t>FIDC Multisetorial Lego II Sênior 1</t>
  </si>
  <si>
    <t>FIDCMEZA</t>
  </si>
  <si>
    <t>FIDCRED5</t>
  </si>
  <si>
    <t>FIDC Red Multisetorial LP Sênior 5</t>
  </si>
  <si>
    <t>FIDCRED7</t>
  </si>
  <si>
    <t>FIDC Red Multisetorial LP Sênior 7</t>
  </si>
  <si>
    <t>FIDCSAN2</t>
  </si>
  <si>
    <t>FIDC Saneago Infraestrutura 1 Sênior 2</t>
  </si>
  <si>
    <t>FIDCSANE</t>
  </si>
  <si>
    <t>FIDC Saneago Infraestrutura 1 Sênior 1</t>
  </si>
  <si>
    <t>FIDCSENI</t>
  </si>
  <si>
    <t>FIDC Omni IX Sênior 1</t>
  </si>
  <si>
    <t>OMNIFIDC</t>
  </si>
  <si>
    <t>FIDC Omni Veículos VI Sênior 1</t>
  </si>
  <si>
    <t>RDVT11</t>
  </si>
  <si>
    <t>RED MEZC</t>
  </si>
  <si>
    <t>FIDC Red Multisetorial LP Mezanino C</t>
  </si>
  <si>
    <t>RED MZ D</t>
  </si>
  <si>
    <t>FIDC Red Multisetorial LP Mezanino D</t>
  </si>
  <si>
    <t>REDFACTO</t>
  </si>
  <si>
    <t>FIDC MULT REDFACTOR</t>
  </si>
  <si>
    <t>REDMEZ E</t>
  </si>
  <si>
    <t>FIDC Red Multisetorial LP Mezanino E</t>
  </si>
  <si>
    <t>SANAGO2M</t>
  </si>
  <si>
    <t>FIDC Saneago Infraestrutura 2 Mezanino A</t>
  </si>
  <si>
    <t>SANAGO2S</t>
  </si>
  <si>
    <t>FIDC Saneago Infraestrutura 2 Sênior 1</t>
  </si>
  <si>
    <t>VEICMZ1</t>
  </si>
  <si>
    <t>FIDC Omni Veículos VIII Mezanino A</t>
  </si>
  <si>
    <t>VEICSEN1</t>
  </si>
  <si>
    <t>FIDC Omni Veículos VIII Sênior 1</t>
  </si>
  <si>
    <t>Tipo409</t>
  </si>
  <si>
    <t>NegociadoEmBolsa</t>
  </si>
  <si>
    <t>LiquidFisica</t>
  </si>
  <si>
    <t>Emissor</t>
  </si>
  <si>
    <t>Tipo409Emissor</t>
  </si>
  <si>
    <t>Tipo409RFRV</t>
  </si>
  <si>
    <t>EmissorColigado</t>
  </si>
  <si>
    <t>Rating</t>
  </si>
  <si>
    <t>Propriedade</t>
  </si>
  <si>
    <t>Valor</t>
  </si>
  <si>
    <t>InstFin</t>
  </si>
  <si>
    <t>PF</t>
  </si>
  <si>
    <t>CiaAberta</t>
  </si>
  <si>
    <t>FundoInv</t>
  </si>
  <si>
    <t>RF</t>
  </si>
  <si>
    <t>RV</t>
  </si>
  <si>
    <t>Sim</t>
  </si>
  <si>
    <t>Não</t>
  </si>
  <si>
    <t>Fundo409</t>
  </si>
  <si>
    <t>FIC409</t>
  </si>
  <si>
    <t>FIDC</t>
  </si>
  <si>
    <t>FICFIDC</t>
  </si>
  <si>
    <t>FII</t>
  </si>
  <si>
    <t>CRI</t>
  </si>
  <si>
    <t>ação</t>
  </si>
  <si>
    <t>bonussub</t>
  </si>
  <si>
    <t>BDR</t>
  </si>
  <si>
    <t>IndexFund</t>
  </si>
  <si>
    <t>Pjfechada</t>
  </si>
  <si>
    <t>AAA</t>
  </si>
  <si>
    <t>AA+</t>
  </si>
  <si>
    <t>AA</t>
  </si>
  <si>
    <t>AA-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</si>
  <si>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</si>
  <si>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</si>
  <si>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</si>
  <si>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</si>
  <si>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</si>
  <si>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</si>
  <si>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</si>
  <si>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</si>
  <si>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</si>
  <si>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</si>
  <si>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</si>
  <si>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</si>
  <si>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C</t>
  </si>
  <si>
    <t>D</t>
  </si>
  <si>
    <t>Ápice Securitizadora</t>
  </si>
  <si>
    <t>Ápice Securitizadora-Patr1</t>
  </si>
  <si>
    <t>Ápice Securitizadora-Patr2</t>
  </si>
  <si>
    <t>Ápice Securitizadora-Patr3</t>
  </si>
  <si>
    <t>Ápice Securitizadora-Patr4</t>
  </si>
  <si>
    <t>Banco do Brasil</t>
  </si>
  <si>
    <t>BNYM Mellon DTVM</t>
  </si>
  <si>
    <t>Bradesco</t>
  </si>
  <si>
    <t>Caixa Econômica Federal</t>
  </si>
  <si>
    <t>Companhia Paulista de Securitização</t>
  </si>
  <si>
    <t>Concessionária Rodovias do Tietê</t>
  </si>
  <si>
    <t>Desenvix</t>
  </si>
  <si>
    <t>Fortesec</t>
  </si>
  <si>
    <t>Gaiasec</t>
  </si>
  <si>
    <t>Gaiasec-Patr1</t>
  </si>
  <si>
    <t>Gaiasec-Patr2</t>
  </si>
  <si>
    <t>Habitasec-Patr1</t>
  </si>
  <si>
    <t>Habitasec-Patr2</t>
  </si>
  <si>
    <t>Habitasec-Patr3</t>
  </si>
  <si>
    <t>Habitasec-Patr4</t>
  </si>
  <si>
    <t>Habitasec-Patr5</t>
  </si>
  <si>
    <t>Habitasec-Patr6</t>
  </si>
  <si>
    <t>Habitasec-Patr7</t>
  </si>
  <si>
    <t>Habitasec-Patr8</t>
  </si>
  <si>
    <t>HSBC</t>
  </si>
  <si>
    <t>Itaú</t>
  </si>
  <si>
    <t>Minas Gerais Participações</t>
  </si>
  <si>
    <t>Omni Financeira</t>
  </si>
  <si>
    <t>Redfactor</t>
  </si>
  <si>
    <t>Saneago</t>
  </si>
  <si>
    <t>Santander</t>
  </si>
  <si>
    <t>União</t>
  </si>
  <si>
    <t>outros</t>
  </si>
  <si>
    <t>Fortesec-1</t>
  </si>
  <si>
    <t>Ápice-1</t>
  </si>
  <si>
    <t>Ápice-2</t>
  </si>
  <si>
    <t>Habitasec-1</t>
  </si>
  <si>
    <t>Habitasec-2</t>
  </si>
  <si>
    <t>Ápice-3</t>
  </si>
  <si>
    <t>Habitasec-3</t>
  </si>
  <si>
    <t>Habitasec-4</t>
  </si>
  <si>
    <t>Habitasec-5</t>
  </si>
  <si>
    <t>PDGCiaSec</t>
  </si>
  <si>
    <t>MaestroFrotas</t>
  </si>
  <si>
    <t>RedFactor</t>
  </si>
  <si>
    <t>Tomador</t>
  </si>
  <si>
    <t>Alphaville</t>
  </si>
  <si>
    <t>Mgrupo</t>
  </si>
  <si>
    <t>MotaMachado</t>
  </si>
  <si>
    <t>Urbplan</t>
  </si>
  <si>
    <t>MGrupo</t>
  </si>
  <si>
    <t>GeneralShopping</t>
  </si>
  <si>
    <t>Esser</t>
  </si>
  <si>
    <t>PDG</t>
  </si>
  <si>
    <t>Tecnisa</t>
  </si>
  <si>
    <t>AGV</t>
  </si>
  <si>
    <t>JHSF</t>
  </si>
  <si>
    <t>JPS</t>
  </si>
  <si>
    <t>Cipasa</t>
  </si>
  <si>
    <t>Airporttown</t>
  </si>
  <si>
    <t>FertHeringer</t>
  </si>
  <si>
    <t>Brasturinvest</t>
  </si>
  <si>
    <t>GSP</t>
  </si>
  <si>
    <t>Cemat</t>
  </si>
  <si>
    <t>CPSec</t>
  </si>
  <si>
    <t>MGI</t>
  </si>
  <si>
    <t>Triunfo</t>
  </si>
  <si>
    <t>CART</t>
  </si>
  <si>
    <t>RodoviasDoTiete</t>
  </si>
  <si>
    <t>BMG</t>
  </si>
  <si>
    <t>Bosucesso</t>
  </si>
  <si>
    <t>BancoFicsa</t>
  </si>
  <si>
    <t>Lego</t>
  </si>
  <si>
    <t>OmniFinanceira</t>
  </si>
  <si>
    <t>Exodus</t>
  </si>
  <si>
    <t>Ápice-4</t>
  </si>
  <si>
    <t>Ápice-5</t>
  </si>
  <si>
    <t>Ápice-6</t>
  </si>
  <si>
    <t>Ápice-7</t>
  </si>
  <si>
    <t>Ápice-8</t>
  </si>
  <si>
    <t>Ápice-9</t>
  </si>
  <si>
    <t>Habitasec-6</t>
  </si>
  <si>
    <t>Habitasec-7</t>
  </si>
  <si>
    <t>Habitasec-8</t>
  </si>
  <si>
    <t>Habitasec-9</t>
  </si>
  <si>
    <t>Habitasec-10</t>
  </si>
  <si>
    <t>Habitasec-11</t>
  </si>
  <si>
    <t>Habitasec-12</t>
  </si>
  <si>
    <t>Habitasec-13</t>
  </si>
  <si>
    <t>Habitasec-14</t>
  </si>
  <si>
    <t>Habitasec-15</t>
  </si>
  <si>
    <t>Habitasec-16</t>
  </si>
  <si>
    <t>Habitasec-17</t>
  </si>
  <si>
    <t>GaiaSec-1</t>
  </si>
  <si>
    <t>GaiaSec-2</t>
  </si>
  <si>
    <t>GaiaSec-3</t>
  </si>
  <si>
    <t>Fortesec-2</t>
  </si>
  <si>
    <t>BNY Mellon Cash</t>
  </si>
  <si>
    <t>CDB Caixa Econômica Federal</t>
  </si>
  <si>
    <t>LF Caixa Econômica Federal</t>
  </si>
  <si>
    <t>CDB HSBC</t>
  </si>
  <si>
    <t>LF HSBC</t>
  </si>
  <si>
    <t>CDB Itaú</t>
  </si>
  <si>
    <t>LF Itaú</t>
  </si>
  <si>
    <t>CDB Banco do Brasil</t>
  </si>
  <si>
    <t>LF Banco do Brasil</t>
  </si>
  <si>
    <t>CDB Santander</t>
  </si>
  <si>
    <t>LF Santander</t>
  </si>
  <si>
    <t>CDB Bradesco</t>
  </si>
  <si>
    <t>LF Bradesco</t>
  </si>
  <si>
    <t>NTN-B</t>
  </si>
  <si>
    <t>Over-Bradesco</t>
  </si>
  <si>
    <t>BTG - Cash</t>
  </si>
  <si>
    <t>Saldo em Tesouraria</t>
  </si>
  <si>
    <t>BNYMellon</t>
  </si>
  <si>
    <t>CEF</t>
  </si>
  <si>
    <t>Itau</t>
  </si>
  <si>
    <t>Tesouro</t>
  </si>
  <si>
    <t>BTG</t>
  </si>
  <si>
    <t>-</t>
  </si>
  <si>
    <t>Aa3</t>
  </si>
  <si>
    <t>Corporativo</t>
  </si>
  <si>
    <t>Planner</t>
  </si>
  <si>
    <t>CC</t>
  </si>
  <si>
    <t>Oliveira Trust</t>
  </si>
  <si>
    <t>Aa2</t>
  </si>
  <si>
    <t>Em desenvolvimento</t>
  </si>
  <si>
    <t>XXX</t>
  </si>
  <si>
    <t>Baa1</t>
  </si>
  <si>
    <t>A1</t>
  </si>
  <si>
    <t>não há</t>
  </si>
  <si>
    <t>AGCX11</t>
  </si>
  <si>
    <t>Agências Caixa</t>
  </si>
  <si>
    <t>Agências</t>
  </si>
  <si>
    <t>Rio Bravo</t>
  </si>
  <si>
    <t>BBPO11</t>
  </si>
  <si>
    <t>BB Progressivo II</t>
  </si>
  <si>
    <t>Votorantim</t>
  </si>
  <si>
    <t>BBRC11</t>
  </si>
  <si>
    <t>BB Renda Corporativa</t>
  </si>
  <si>
    <t>BNFS11</t>
  </si>
  <si>
    <t>Banrisul Novas Fronteiras</t>
  </si>
  <si>
    <t>SAAG11</t>
  </si>
  <si>
    <t>Santander Agências</t>
  </si>
  <si>
    <t>ALMI11B</t>
  </si>
  <si>
    <t>Torre Almirante</t>
  </si>
  <si>
    <t>BTG Pactual</t>
  </si>
  <si>
    <t>Ourinvest</t>
  </si>
  <si>
    <t>BBFI11B</t>
  </si>
  <si>
    <t>BB Progressivo</t>
  </si>
  <si>
    <t>Caixa</t>
  </si>
  <si>
    <t>BBVJ11</t>
  </si>
  <si>
    <t>Cidade Jardim Continental Tower</t>
  </si>
  <si>
    <t>BMLC11B</t>
  </si>
  <si>
    <t>Brascan Lajes Corporativas</t>
  </si>
  <si>
    <t>Brascan</t>
  </si>
  <si>
    <t>BRCR11</t>
  </si>
  <si>
    <t>BTG Pactual Corporate Office Fund</t>
  </si>
  <si>
    <t>CBOP11</t>
  </si>
  <si>
    <t>Castello Branco Office Park</t>
  </si>
  <si>
    <t>CSHG</t>
  </si>
  <si>
    <t>CEOC11B</t>
  </si>
  <si>
    <t>CEO Cyrela Commercial Properties</t>
  </si>
  <si>
    <t>CNES11B</t>
  </si>
  <si>
    <t>CENESP</t>
  </si>
  <si>
    <t>CTXT11</t>
  </si>
  <si>
    <t>Centro Textil Internacional</t>
  </si>
  <si>
    <t>CXCE11B</t>
  </si>
  <si>
    <t>Caixa Cedae</t>
  </si>
  <si>
    <t>DOMC11</t>
  </si>
  <si>
    <t>Domo</t>
  </si>
  <si>
    <t>Claritas</t>
  </si>
  <si>
    <t>DOVL11B</t>
  </si>
  <si>
    <t>Dovel</t>
  </si>
  <si>
    <t>BNY Mellon</t>
  </si>
  <si>
    <t>DRIT11B</t>
  </si>
  <si>
    <t>Multigestão Renda Comercial</t>
  </si>
  <si>
    <t>EDFO11B</t>
  </si>
  <si>
    <t>Edifício Ourinvest</t>
  </si>
  <si>
    <t>EDGA11B</t>
  </si>
  <si>
    <t>Edifício Galeria</t>
  </si>
  <si>
    <t>FAMB11B</t>
  </si>
  <si>
    <t>Edifício Almirante Barroso</t>
  </si>
  <si>
    <t>FFCI11</t>
  </si>
  <si>
    <t>Rio Bravo Renda Corporativa</t>
  </si>
  <si>
    <t>FLMA11</t>
  </si>
  <si>
    <t>Continental Square Faria Lima</t>
  </si>
  <si>
    <t>BR-Capital</t>
  </si>
  <si>
    <t>FMOF11</t>
  </si>
  <si>
    <t>Memorial Office</t>
  </si>
  <si>
    <t>Coinvalores</t>
  </si>
  <si>
    <t>FPAB11</t>
  </si>
  <si>
    <t>Projeto Água Branca</t>
  </si>
  <si>
    <t>FVBI11B</t>
  </si>
  <si>
    <t>VBI FL 4440</t>
  </si>
  <si>
    <t>HGJH11</t>
  </si>
  <si>
    <t>CSHG JHSF Prime Offices</t>
  </si>
  <si>
    <t>HGRE11</t>
  </si>
  <si>
    <t>CSHG Real Estate</t>
  </si>
  <si>
    <t>KNRI11</t>
  </si>
  <si>
    <t>Kinea Renda Imobiliária</t>
  </si>
  <si>
    <t>Intrag</t>
  </si>
  <si>
    <t>Kinea</t>
  </si>
  <si>
    <t>MBRF11</t>
  </si>
  <si>
    <t>Mercantil do Brasil</t>
  </si>
  <si>
    <t>MXRC11</t>
  </si>
  <si>
    <t>Máxima Renda Corporativa</t>
  </si>
  <si>
    <t>Maxima</t>
  </si>
  <si>
    <t>ONEF11</t>
  </si>
  <si>
    <t>The One</t>
  </si>
  <si>
    <t>PRSV11</t>
  </si>
  <si>
    <t>Presidente Vargas</t>
  </si>
  <si>
    <t>BEM</t>
  </si>
  <si>
    <t>Latour Capital</t>
  </si>
  <si>
    <t>RBRD11</t>
  </si>
  <si>
    <t>RB Capital Renda II</t>
  </si>
  <si>
    <t>RB Capital</t>
  </si>
  <si>
    <t>RDES11</t>
  </si>
  <si>
    <t>Renda de Escritórios</t>
  </si>
  <si>
    <t>BB Gestao</t>
  </si>
  <si>
    <t>BB Gestão</t>
  </si>
  <si>
    <t>RNGO11</t>
  </si>
  <si>
    <t>Rio Negro</t>
  </si>
  <si>
    <t>Citibank</t>
  </si>
  <si>
    <t>XP Gestão</t>
  </si>
  <si>
    <t>SPTW11</t>
  </si>
  <si>
    <t>SP Downtown</t>
  </si>
  <si>
    <t>Geracao Futuro</t>
  </si>
  <si>
    <t>Brasil Plural</t>
  </si>
  <si>
    <t>TBOF11</t>
  </si>
  <si>
    <t>TB Office</t>
  </si>
  <si>
    <t>THRA11B</t>
  </si>
  <si>
    <t>Cyrela Thera Corporate</t>
  </si>
  <si>
    <t>TRNT11B</t>
  </si>
  <si>
    <t>Torre Norte</t>
  </si>
  <si>
    <t>VLOL11</t>
  </si>
  <si>
    <t>Vila Olímpia Corporate</t>
  </si>
  <si>
    <t>XPCM11</t>
  </si>
  <si>
    <t>XP Corporate Macaé</t>
  </si>
  <si>
    <t>XTED11</t>
  </si>
  <si>
    <t>TRX Edifícios Corporativos</t>
  </si>
  <si>
    <t>TRX</t>
  </si>
  <si>
    <t>AEFI11</t>
  </si>
  <si>
    <t>Aesapar</t>
  </si>
  <si>
    <t>Educacional</t>
  </si>
  <si>
    <t>FAED11B</t>
  </si>
  <si>
    <t>Anhanguera Educacional</t>
  </si>
  <si>
    <t>FCFL11B</t>
  </si>
  <si>
    <t>Campus Faria Lima</t>
  </si>
  <si>
    <t>BCFF11B</t>
  </si>
  <si>
    <t>BTG Pactual Fundo de Fundos</t>
  </si>
  <si>
    <t>Fundo de Fundos</t>
  </si>
  <si>
    <t>BPFF11</t>
  </si>
  <si>
    <t>Brasil Plural Absoluto</t>
  </si>
  <si>
    <t>CXRI11</t>
  </si>
  <si>
    <t>Caixa Rio Bravo</t>
  </si>
  <si>
    <t>FIXX11</t>
  </si>
  <si>
    <t>Fator IFIX</t>
  </si>
  <si>
    <t>Fator</t>
  </si>
  <si>
    <t>GVFF11</t>
  </si>
  <si>
    <t>Gávea Fundo de Fundos</t>
  </si>
  <si>
    <t>Gavea Investimentos</t>
  </si>
  <si>
    <t>FTCE11B</t>
  </si>
  <si>
    <t>Opportunity</t>
  </si>
  <si>
    <t>Hibrido</t>
  </si>
  <si>
    <t>HCRI11B</t>
  </si>
  <si>
    <t>Hospital da Criança</t>
  </si>
  <si>
    <t>Hospital</t>
  </si>
  <si>
    <t>NSLU11B</t>
  </si>
  <si>
    <t>Hospital Nossa Senhora de Lourdes</t>
  </si>
  <si>
    <t>HTMX11B</t>
  </si>
  <si>
    <t>Hotel Maxinvest</t>
  </si>
  <si>
    <t>Hotel</t>
  </si>
  <si>
    <t>CXTL11</t>
  </si>
  <si>
    <t>Caixa TRX Logística Renda</t>
  </si>
  <si>
    <t>Logístico</t>
  </si>
  <si>
    <t>EURO11</t>
  </si>
  <si>
    <t>Europar</t>
  </si>
  <si>
    <t>Banif</t>
  </si>
  <si>
    <t>FIIB11</t>
  </si>
  <si>
    <t>Industrial do Brasil</t>
  </si>
  <si>
    <t>GWIC11</t>
  </si>
  <si>
    <t>GWI Condomínios Logísticos</t>
  </si>
  <si>
    <t>GWI</t>
  </si>
  <si>
    <t>HGLG11</t>
  </si>
  <si>
    <t>CSHG Logística</t>
  </si>
  <si>
    <t>SDIL11</t>
  </si>
  <si>
    <t>SDI Logística Rio</t>
  </si>
  <si>
    <t>TRXL11</t>
  </si>
  <si>
    <t>TRX Realty Logística I</t>
  </si>
  <si>
    <t>CPTS11B</t>
  </si>
  <si>
    <t>Capitânia Securities II</t>
  </si>
  <si>
    <t>Recebíveis</t>
  </si>
  <si>
    <t>Capitânia</t>
  </si>
  <si>
    <t>FEXC11B</t>
  </si>
  <si>
    <t>BTG Pactual Fundo de CRI</t>
  </si>
  <si>
    <t>HGCR11</t>
  </si>
  <si>
    <t>CSHG Recebíveis Imobiliários</t>
  </si>
  <si>
    <t>JSRE11</t>
  </si>
  <si>
    <t>JS Real Estate Multigestão</t>
  </si>
  <si>
    <t>J Safra</t>
  </si>
  <si>
    <t>J. Safra</t>
  </si>
  <si>
    <t>KNCR11</t>
  </si>
  <si>
    <t>Kinea Rendimentos Imobiliários</t>
  </si>
  <si>
    <t>MXRF11</t>
  </si>
  <si>
    <t>Maxi Renda</t>
  </si>
  <si>
    <t>PLRI11</t>
  </si>
  <si>
    <t>Polo Recebíveis Imobiliários</t>
  </si>
  <si>
    <t>Polo</t>
  </si>
  <si>
    <t>PORD11</t>
  </si>
  <si>
    <t>Polo Recebíveis Imobiliários II</t>
  </si>
  <si>
    <t>RBCB11</t>
  </si>
  <si>
    <t>Rio Bravo Crédito Imobiliário</t>
  </si>
  <si>
    <t>RBVO11</t>
  </si>
  <si>
    <t>Rio Bravo Crédito Imobiliário II</t>
  </si>
  <si>
    <t>RNDP11</t>
  </si>
  <si>
    <t>BB Renda de Papéis</t>
  </si>
  <si>
    <t>STFI11</t>
  </si>
  <si>
    <t xml:space="preserve">Santander Recebíveis </t>
  </si>
  <si>
    <t>VRTA11</t>
  </si>
  <si>
    <t xml:space="preserve">Fator Verità </t>
  </si>
  <si>
    <t>WMRB11B</t>
  </si>
  <si>
    <t>WM RB Capital</t>
  </si>
  <si>
    <t>XPGA11</t>
  </si>
  <si>
    <t>XP Gaia Lote I</t>
  </si>
  <si>
    <t>MFII11</t>
  </si>
  <si>
    <t>Mérito Desenvolvimento Imobiliário</t>
  </si>
  <si>
    <t>Residencial</t>
  </si>
  <si>
    <t>Merito Investimentos</t>
  </si>
  <si>
    <t>PABY11</t>
  </si>
  <si>
    <t>Panamby</t>
  </si>
  <si>
    <t>Brookfield</t>
  </si>
  <si>
    <t>PRSN11B</t>
  </si>
  <si>
    <t>Personale I</t>
  </si>
  <si>
    <t>Personal</t>
  </si>
  <si>
    <t>RBBV11</t>
  </si>
  <si>
    <t>JHSF Rio Bravo Fazenda Boa Vista</t>
  </si>
  <si>
    <t>RBDS11</t>
  </si>
  <si>
    <t>RB Capital Desenvolvimento Residencial II</t>
  </si>
  <si>
    <t>RBPD11</t>
  </si>
  <si>
    <t>RB Capital Prime Realty II</t>
  </si>
  <si>
    <t>RBPR11</t>
  </si>
  <si>
    <t>RB Capital Prime Realty I</t>
  </si>
  <si>
    <t>ABCP11</t>
  </si>
  <si>
    <t>Grand Plaza Shopping</t>
  </si>
  <si>
    <t>Shopping/Varejo</t>
  </si>
  <si>
    <t>ANCR11B</t>
  </si>
  <si>
    <t>Ancar IC</t>
  </si>
  <si>
    <t>CSHP11B</t>
  </si>
  <si>
    <t>CSHG Desenvolvimento de Shoppings Populares</t>
  </si>
  <si>
    <t>FIGS11</t>
  </si>
  <si>
    <t>General Shopping Ativo e Renda</t>
  </si>
  <si>
    <t>SOCOPA</t>
  </si>
  <si>
    <t>Olimpia Partners</t>
  </si>
  <si>
    <t>FIIP11B</t>
  </si>
  <si>
    <t>Capital Renda I</t>
  </si>
  <si>
    <t>FLRP11B</t>
  </si>
  <si>
    <t>Floripa Shopping</t>
  </si>
  <si>
    <t>FVPQ11</t>
  </si>
  <si>
    <t>Via Parque Shopping</t>
  </si>
  <si>
    <t>GWIR11</t>
  </si>
  <si>
    <t>GWI Renda Imobiliária</t>
  </si>
  <si>
    <t>HGBS11</t>
  </si>
  <si>
    <t>CSHG Brasil Shopping</t>
  </si>
  <si>
    <t>JRDM11B</t>
  </si>
  <si>
    <t>Shoping Jardim Sul</t>
  </si>
  <si>
    <t>MAXR11B</t>
  </si>
  <si>
    <t>Max Retail</t>
  </si>
  <si>
    <t>MSHP11</t>
  </si>
  <si>
    <t>Mais Shopping Largo 13</t>
  </si>
  <si>
    <t>MSLF11B</t>
  </si>
  <si>
    <t>MSL 13</t>
  </si>
  <si>
    <t>PQDP11</t>
  </si>
  <si>
    <t>Parque Dom Pedro Shopping Center</t>
  </si>
  <si>
    <t>RBGS11</t>
  </si>
  <si>
    <t>RB Capital General Shopping Sulacap</t>
  </si>
  <si>
    <t>RCCS11</t>
  </si>
  <si>
    <t>REP 1 CCS</t>
  </si>
  <si>
    <t>SCPF11</t>
  </si>
  <si>
    <t>SCP</t>
  </si>
  <si>
    <t>SHPH11</t>
  </si>
  <si>
    <t>Shopping Pátio Higienópolis</t>
  </si>
  <si>
    <t>WPLZ11B</t>
  </si>
  <si>
    <t>Shopping West Plaza</t>
  </si>
  <si>
    <t>Fundos Imobiliários</t>
  </si>
  <si>
    <t>Bovespa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</si>
</sst>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6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C5D9F1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9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>
      <alignment wrapText="1"/>
    </xf>
    <xf numFmtId="0" fontId="2" fillId="0" borderId="3" xfId="1" applyFont="1" applyFill="1" applyBorder="1" applyAlignment="1">
      <alignment wrapText="1"/>
    </xf>
    <xf numFmtId="0" fontId="0" fillId="0" borderId="0" xfId="0" applyFill="1" applyBorder="1"/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wrapText="1"/>
    </xf>
    <xf numFmtId="0" fontId="2" fillId="3" borderId="2" xfId="1" applyFont="1" applyFill="1" applyBorder="1" applyAlignment="1">
      <alignment horizontal="right" wrapText="1"/>
    </xf>
    <xf numFmtId="0" fontId="2" fillId="3" borderId="2" xfId="1" applyFont="1" applyFill="1" applyBorder="1" applyAlignment="1">
      <alignment wrapText="1"/>
    </xf>
    <xf numFmtId="0" fontId="2" fillId="4" borderId="2" xfId="1" applyFont="1" applyFill="1" applyBorder="1" applyAlignment="1">
      <alignment horizontal="right" wrapText="1"/>
    </xf>
    <xf numFmtId="0" fontId="2" fillId="4" borderId="2" xfId="1" applyFont="1" applyFill="1" applyBorder="1" applyAlignment="1">
      <alignment wrapText="1"/>
    </xf>
    <xf numFmtId="0" fontId="2" fillId="5" borderId="2" xfId="1" applyFont="1" applyFill="1" applyBorder="1" applyAlignment="1">
      <alignment horizontal="right" wrapText="1"/>
    </xf>
    <xf numFmtId="0" fontId="2" fillId="5" borderId="2" xfId="1" applyFont="1" applyFill="1" applyBorder="1" applyAlignment="1">
      <alignment wrapText="1"/>
    </xf>
    <xf numFmtId="0" fontId="2" fillId="6" borderId="2" xfId="1" applyFont="1" applyFill="1" applyBorder="1" applyAlignment="1">
      <alignment horizontal="right" wrapText="1"/>
    </xf>
    <xf numFmtId="0" fontId="2" fillId="6" borderId="2" xfId="1" applyFont="1" applyFill="1" applyBorder="1" applyAlignment="1">
      <alignment wrapText="1"/>
    </xf>
    <xf numFmtId="0" fontId="2" fillId="0" borderId="4" xfId="1" applyFont="1" applyFill="1" applyBorder="1" applyAlignment="1">
      <alignment wrapText="1"/>
    </xf>
    <xf numFmtId="0" fontId="3" fillId="0" borderId="5" xfId="2" applyBorder="1"/>
    <xf numFmtId="0" fontId="2" fillId="0" borderId="3" xfId="1" applyFont="1" applyFill="1" applyBorder="1" applyAlignment="1">
      <alignment horizontal="center" wrapText="1"/>
    </xf>
    <xf numFmtId="0" fontId="4" fillId="7" borderId="0" xfId="2" applyFont="1" applyFill="1" applyAlignment="1">
      <alignment horizontal="center" vertical="center" wrapText="1"/>
    </xf>
    <xf numFmtId="0" fontId="3" fillId="0" borderId="0" xfId="2"/>
    <xf numFmtId="0" fontId="4" fillId="7" borderId="5" xfId="2" applyFont="1" applyFill="1" applyBorder="1" applyAlignment="1">
      <alignment horizontal="center" vertical="center" wrapText="1"/>
    </xf>
    <xf numFmtId="0" fontId="4" fillId="8" borderId="5" xfId="2" applyFont="1" applyFill="1" applyBorder="1" applyAlignment="1">
      <alignment horizontal="center" vertical="center" wrapText="1"/>
    </xf>
    <xf numFmtId="0" fontId="4" fillId="9" borderId="5" xfId="2" applyFont="1" applyFill="1" applyBorder="1" applyAlignment="1">
      <alignment horizontal="center" vertical="center" wrapText="1"/>
    </xf>
    <xf numFmtId="0" fontId="4" fillId="10" borderId="5" xfId="2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2" xfId="1" applyFont="1" applyFill="1" applyBorder="1" applyAlignment="1">
      <alignment horizontal="center" wrapText="1"/>
    </xf>
    <xf numFmtId="0" fontId="5" fillId="11" borderId="0" xfId="0" applyFont="1" applyFill="1" applyAlignment="1">
      <alignment horizontal="center"/>
    </xf>
    <xf numFmtId="0" fontId="5" fillId="11" borderId="0" xfId="0" applyFont="1" applyFill="1" applyAlignment="1">
      <alignment horizontal="left"/>
    </xf>
  </cellXfs>
  <cellStyles count="5">
    <cellStyle name="Comma 2" xfId="3"/>
    <cellStyle name="Normal" xfId="0" builtinId="0"/>
    <cellStyle name="Normal 2" xfId="2"/>
    <cellStyle name="Normal_Sheet1" xfId="1"/>
    <cellStyle name="Percent 2" xfId="4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96"/>
  <sheetViews>
    <sheetView tabSelected="1" workbookViewId="0">
      <pane xSplit="2" ySplit="1" topLeftCell="D179" activePane="bottomRight" state="frozen"/>
      <selection pane="topRight" activeCell="C1" sqref="C1"/>
      <selection pane="bottomLeft" activeCell="A2" sqref="A2"/>
      <selection pane="bottomRight" activeCell="K197" sqref="K197"/>
    </sheetView>
  </sheetViews>
  <sheetFormatPr defaultRowHeight="14.25" customHeight="1"/>
  <cols>
    <col min="1" max="1" width="15.85546875" customWidth="1"/>
    <col min="2" max="2" width="53.28515625" customWidth="1"/>
    <col min="4" max="4" width="12.42578125" style="25" customWidth="1"/>
    <col min="5" max="5" width="12.85546875" style="25" customWidth="1"/>
    <col min="6" max="6" width="22.140625" customWidth="1"/>
    <col min="7" max="7" width="13.7109375" customWidth="1"/>
    <col min="8" max="8" width="10.5703125" style="25" customWidth="1"/>
    <col min="11" max="11" width="16.42578125" bestFit="1" customWidth="1"/>
    <col min="14" max="14" width="32.140625" customWidth="1"/>
  </cols>
  <sheetData>
    <row r="1" spans="1:11" ht="14.25" customHeight="1">
      <c r="A1" s="1" t="s">
        <v>0</v>
      </c>
      <c r="B1" s="1" t="s">
        <v>1</v>
      </c>
      <c r="C1" s="2" t="s">
        <v>136</v>
      </c>
      <c r="D1" s="26" t="s">
        <v>137</v>
      </c>
      <c r="E1" s="26" t="s">
        <v>138</v>
      </c>
      <c r="F1" s="2" t="s">
        <v>139</v>
      </c>
      <c r="G1" s="2" t="s">
        <v>140</v>
      </c>
      <c r="H1" s="17" t="s">
        <v>141</v>
      </c>
      <c r="I1" s="3" t="s">
        <v>142</v>
      </c>
      <c r="J1" s="3" t="s">
        <v>143</v>
      </c>
      <c r="K1" s="15" t="s">
        <v>228</v>
      </c>
    </row>
    <row r="2" spans="1:11" ht="14.25" customHeight="1">
      <c r="A2" s="2" t="s">
        <v>2</v>
      </c>
      <c r="B2" s="2" t="s">
        <v>3</v>
      </c>
      <c r="C2" t="s">
        <v>159</v>
      </c>
      <c r="D2" s="25" t="s">
        <v>153</v>
      </c>
      <c r="E2" s="25" t="s">
        <v>153</v>
      </c>
      <c r="F2" s="2" t="s">
        <v>216</v>
      </c>
      <c r="G2" s="2" t="s">
        <v>148</v>
      </c>
      <c r="H2" s="24" t="s">
        <v>150</v>
      </c>
      <c r="I2" s="5" t="s">
        <v>153</v>
      </c>
      <c r="J2" s="4" t="str">
        <f>VLOOKUP(A2,Sheet3!$A$1:$B$75,2,FALSE)</f>
        <v>A-</v>
      </c>
      <c r="K2" s="4" t="s">
        <v>229</v>
      </c>
    </row>
    <row r="3" spans="1:11" ht="14.25" customHeight="1">
      <c r="A3" s="2" t="s">
        <v>4</v>
      </c>
      <c r="B3" s="2" t="s">
        <v>5</v>
      </c>
      <c r="C3" t="s">
        <v>159</v>
      </c>
      <c r="D3" s="25" t="s">
        <v>153</v>
      </c>
      <c r="E3" s="25" t="s">
        <v>153</v>
      </c>
      <c r="F3" s="2" t="s">
        <v>217</v>
      </c>
      <c r="G3" s="2" t="s">
        <v>148</v>
      </c>
      <c r="H3" s="24" t="s">
        <v>150</v>
      </c>
      <c r="I3" s="5" t="s">
        <v>153</v>
      </c>
      <c r="J3" s="4" t="str">
        <f>VLOOKUP(TRIM(A3),Sheet3!$A$1:$B$75,2,FALSE)</f>
        <v>A-</v>
      </c>
      <c r="K3" s="4" t="s">
        <v>230</v>
      </c>
    </row>
    <row r="4" spans="1:11" ht="14.25" customHeight="1">
      <c r="A4" s="2" t="s">
        <v>6</v>
      </c>
      <c r="B4" s="2" t="s">
        <v>7</v>
      </c>
      <c r="C4" t="s">
        <v>159</v>
      </c>
      <c r="D4" s="25" t="s">
        <v>153</v>
      </c>
      <c r="E4" s="25" t="s">
        <v>153</v>
      </c>
      <c r="F4" s="2" t="s">
        <v>218</v>
      </c>
      <c r="G4" s="2" t="s">
        <v>148</v>
      </c>
      <c r="H4" s="24" t="s">
        <v>150</v>
      </c>
      <c r="I4" s="5" t="s">
        <v>153</v>
      </c>
      <c r="J4" s="4" t="str">
        <f>VLOOKUP(A4,Sheet3!$A$1:$B$75,2,FALSE)</f>
        <v>A</v>
      </c>
      <c r="K4" s="4" t="s">
        <v>231</v>
      </c>
    </row>
    <row r="5" spans="1:11" ht="14.25" customHeight="1">
      <c r="A5" s="2" t="s">
        <v>8</v>
      </c>
      <c r="B5" s="2" t="s">
        <v>9</v>
      </c>
      <c r="C5" t="s">
        <v>159</v>
      </c>
      <c r="D5" s="25" t="s">
        <v>153</v>
      </c>
      <c r="E5" s="25" t="s">
        <v>153</v>
      </c>
      <c r="F5" s="2" t="s">
        <v>219</v>
      </c>
      <c r="G5" s="2" t="s">
        <v>148</v>
      </c>
      <c r="H5" s="24" t="s">
        <v>150</v>
      </c>
      <c r="I5" s="5" t="s">
        <v>153</v>
      </c>
      <c r="J5" s="4" t="str">
        <f>VLOOKUP(A5,Sheet3!$A$1:$B$75,2,FALSE)</f>
        <v>Em desenvolvimento</v>
      </c>
      <c r="K5" s="4" t="s">
        <v>232</v>
      </c>
    </row>
    <row r="6" spans="1:11" ht="14.25" customHeight="1">
      <c r="A6" s="2" t="s">
        <v>10</v>
      </c>
      <c r="B6" s="2" t="s">
        <v>11</v>
      </c>
      <c r="C6" t="s">
        <v>159</v>
      </c>
      <c r="D6" s="25" t="s">
        <v>153</v>
      </c>
      <c r="E6" s="25" t="s">
        <v>153</v>
      </c>
      <c r="F6" s="2" t="s">
        <v>220</v>
      </c>
      <c r="G6" s="2" t="s">
        <v>148</v>
      </c>
      <c r="H6" s="24" t="s">
        <v>150</v>
      </c>
      <c r="I6" s="5" t="s">
        <v>153</v>
      </c>
      <c r="J6" s="4" t="str">
        <f>VLOOKUP(A6,Sheet3!$A$1:$B$75,2,FALSE)</f>
        <v>Em desenvolvimento</v>
      </c>
      <c r="K6" s="4" t="s">
        <v>232</v>
      </c>
    </row>
    <row r="7" spans="1:11" ht="14.25" customHeight="1">
      <c r="A7" s="2" t="s">
        <v>12</v>
      </c>
      <c r="B7" s="2" t="s">
        <v>13</v>
      </c>
      <c r="C7" t="s">
        <v>159</v>
      </c>
      <c r="D7" s="25" t="s">
        <v>153</v>
      </c>
      <c r="E7" s="25" t="s">
        <v>153</v>
      </c>
      <c r="F7" s="2" t="s">
        <v>221</v>
      </c>
      <c r="G7" s="2" t="s">
        <v>148</v>
      </c>
      <c r="H7" s="24" t="s">
        <v>150</v>
      </c>
      <c r="I7" s="5" t="s">
        <v>153</v>
      </c>
      <c r="J7" s="4" t="str">
        <f>VLOOKUP(A7,Sheet3!$A$1:$B$75,2,FALSE)</f>
        <v>A+</v>
      </c>
      <c r="K7" s="4" t="s">
        <v>233</v>
      </c>
    </row>
    <row r="8" spans="1:11" ht="14.25" customHeight="1">
      <c r="A8" s="2" t="s">
        <v>14</v>
      </c>
      <c r="B8" s="2" t="s">
        <v>15</v>
      </c>
      <c r="C8" t="s">
        <v>159</v>
      </c>
      <c r="D8" s="25" t="s">
        <v>153</v>
      </c>
      <c r="E8" s="25" t="s">
        <v>153</v>
      </c>
      <c r="F8" s="2" t="s">
        <v>222</v>
      </c>
      <c r="G8" s="2" t="s">
        <v>148</v>
      </c>
      <c r="H8" s="24" t="s">
        <v>150</v>
      </c>
      <c r="I8" s="5" t="s">
        <v>153</v>
      </c>
      <c r="J8" s="4" t="str">
        <f>VLOOKUP(A8,Sheet3!$A$1:$B$75,2,FALSE)</f>
        <v>A-</v>
      </c>
      <c r="K8" s="4" t="s">
        <v>234</v>
      </c>
    </row>
    <row r="9" spans="1:11" ht="14.25" customHeight="1">
      <c r="A9" s="2" t="s">
        <v>16</v>
      </c>
      <c r="B9" s="2" t="s">
        <v>17</v>
      </c>
      <c r="C9" t="s">
        <v>159</v>
      </c>
      <c r="D9" s="25" t="s">
        <v>153</v>
      </c>
      <c r="E9" s="25" t="s">
        <v>153</v>
      </c>
      <c r="F9" s="2" t="s">
        <v>223</v>
      </c>
      <c r="G9" s="2" t="s">
        <v>148</v>
      </c>
      <c r="H9" s="24" t="s">
        <v>150</v>
      </c>
      <c r="I9" s="5" t="s">
        <v>153</v>
      </c>
      <c r="J9" s="4" t="str">
        <f>VLOOKUP(A9,Sheet3!$A$1:$B$75,2,FALSE)</f>
        <v>A-</v>
      </c>
      <c r="K9" s="4" t="s">
        <v>234</v>
      </c>
    </row>
    <row r="10" spans="1:11" ht="14.25" customHeight="1">
      <c r="A10" s="2" t="s">
        <v>18</v>
      </c>
      <c r="B10" s="2" t="s">
        <v>19</v>
      </c>
      <c r="C10" t="s">
        <v>159</v>
      </c>
      <c r="D10" s="25" t="s">
        <v>153</v>
      </c>
      <c r="E10" s="25" t="s">
        <v>153</v>
      </c>
      <c r="F10" s="2" t="s">
        <v>224</v>
      </c>
      <c r="G10" s="2" t="s">
        <v>148</v>
      </c>
      <c r="H10" s="24" t="s">
        <v>150</v>
      </c>
      <c r="I10" s="5" t="s">
        <v>153</v>
      </c>
      <c r="J10" s="4" t="str">
        <f>VLOOKUP(A10,Sheet3!$A$1:$B$75,2,FALSE)</f>
        <v>A</v>
      </c>
      <c r="K10" s="4" t="s">
        <v>235</v>
      </c>
    </row>
    <row r="11" spans="1:11" ht="14.25" customHeight="1">
      <c r="A11" s="2" t="s">
        <v>20</v>
      </c>
      <c r="B11" s="2" t="s">
        <v>21</v>
      </c>
      <c r="C11" t="s">
        <v>159</v>
      </c>
      <c r="D11" s="25" t="s">
        <v>153</v>
      </c>
      <c r="E11" s="25" t="s">
        <v>153</v>
      </c>
      <c r="F11" s="2" t="s">
        <v>225</v>
      </c>
      <c r="G11" s="2" t="s">
        <v>148</v>
      </c>
      <c r="H11" s="24" t="s">
        <v>150</v>
      </c>
      <c r="I11" s="5" t="s">
        <v>153</v>
      </c>
      <c r="J11" s="4" t="str">
        <f>VLOOKUP(A11,Sheet3!$A$1:$B$75,2,FALSE)</f>
        <v>A</v>
      </c>
      <c r="K11" s="4" t="s">
        <v>236</v>
      </c>
    </row>
    <row r="12" spans="1:11" ht="14.25" customHeight="1">
      <c r="A12" s="2" t="s">
        <v>22</v>
      </c>
      <c r="B12" s="2" t="s">
        <v>23</v>
      </c>
      <c r="C12" t="s">
        <v>215</v>
      </c>
      <c r="D12" s="25" t="s">
        <v>153</v>
      </c>
      <c r="E12" s="25" t="s">
        <v>153</v>
      </c>
      <c r="F12" s="2" t="s">
        <v>226</v>
      </c>
      <c r="G12" s="2" t="s">
        <v>164</v>
      </c>
      <c r="H12" s="24" t="s">
        <v>150</v>
      </c>
      <c r="I12" s="5" t="s">
        <v>153</v>
      </c>
      <c r="J12" s="4" t="str">
        <f>VLOOKUP(A12,Sheet3!$A$1:$B$75,2,FALSE)</f>
        <v>BBB+</v>
      </c>
      <c r="K12" s="4" t="s">
        <v>226</v>
      </c>
    </row>
    <row r="13" spans="1:11" ht="14.25" customHeight="1">
      <c r="A13" s="2" t="s">
        <v>24</v>
      </c>
      <c r="B13" s="2" t="s">
        <v>25</v>
      </c>
      <c r="C13" t="s">
        <v>159</v>
      </c>
      <c r="D13" s="25" t="s">
        <v>153</v>
      </c>
      <c r="E13" s="25" t="s">
        <v>153</v>
      </c>
      <c r="F13" s="2" t="s">
        <v>264</v>
      </c>
      <c r="G13" s="2" t="s">
        <v>148</v>
      </c>
      <c r="H13" s="24" t="s">
        <v>150</v>
      </c>
      <c r="I13" s="5" t="s">
        <v>153</v>
      </c>
      <c r="J13" s="4" t="str">
        <f>VLOOKUP(A13,Sheet3!$A$1:$B$75,2,FALSE)</f>
        <v>BBB+</v>
      </c>
      <c r="K13" s="4" t="s">
        <v>237</v>
      </c>
    </row>
    <row r="14" spans="1:11" ht="14.25" customHeight="1">
      <c r="A14" s="2" t="s">
        <v>26</v>
      </c>
      <c r="B14" s="2" t="s">
        <v>27</v>
      </c>
      <c r="C14" t="s">
        <v>159</v>
      </c>
      <c r="D14" s="25" t="s">
        <v>153</v>
      </c>
      <c r="E14" s="25" t="s">
        <v>153</v>
      </c>
      <c r="F14" s="2" t="s">
        <v>265</v>
      </c>
      <c r="G14" s="2" t="s">
        <v>148</v>
      </c>
      <c r="H14" s="24" t="s">
        <v>150</v>
      </c>
      <c r="I14" s="5" t="s">
        <v>153</v>
      </c>
      <c r="J14" s="4" t="str">
        <f>VLOOKUP(A14,Sheet3!$A$1:$B$75,2,FALSE)</f>
        <v>BBB+</v>
      </c>
      <c r="K14" s="4" t="s">
        <v>237</v>
      </c>
    </row>
    <row r="15" spans="1:11" ht="14.25" customHeight="1">
      <c r="A15" s="2" t="s">
        <v>28</v>
      </c>
      <c r="B15" s="2" t="s">
        <v>29</v>
      </c>
      <c r="C15" t="s">
        <v>159</v>
      </c>
      <c r="D15" s="25" t="s">
        <v>153</v>
      </c>
      <c r="E15" s="25" t="s">
        <v>153</v>
      </c>
      <c r="F15" s="2" t="s">
        <v>258</v>
      </c>
      <c r="G15" s="2" t="s">
        <v>148</v>
      </c>
      <c r="H15" s="24" t="s">
        <v>150</v>
      </c>
      <c r="I15" s="5" t="s">
        <v>153</v>
      </c>
      <c r="J15" s="4" t="str">
        <f>VLOOKUP(A15,Sheet3!$A$1:$B$75,2,FALSE)</f>
        <v>A</v>
      </c>
      <c r="K15" s="4" t="s">
        <v>238</v>
      </c>
    </row>
    <row r="16" spans="1:11" ht="14.25" customHeight="1">
      <c r="A16" s="2" t="s">
        <v>30</v>
      </c>
      <c r="B16" s="2" t="s">
        <v>31</v>
      </c>
      <c r="C16" t="s">
        <v>159</v>
      </c>
      <c r="D16" s="25" t="s">
        <v>153</v>
      </c>
      <c r="E16" s="25" t="s">
        <v>153</v>
      </c>
      <c r="F16" s="2" t="s">
        <v>259</v>
      </c>
      <c r="G16" s="2" t="s">
        <v>148</v>
      </c>
      <c r="H16" s="24" t="s">
        <v>150</v>
      </c>
      <c r="I16" s="5" t="s">
        <v>153</v>
      </c>
      <c r="J16" s="4" t="str">
        <f>VLOOKUP(A16,Sheet3!$A$1:$B$75,2,FALSE)</f>
        <v>BBB+</v>
      </c>
      <c r="K16" s="4" t="s">
        <v>238</v>
      </c>
    </row>
    <row r="17" spans="1:11" ht="14.25" customHeight="1">
      <c r="A17" s="2" t="s">
        <v>32</v>
      </c>
      <c r="B17" s="2" t="s">
        <v>33</v>
      </c>
      <c r="C17" t="s">
        <v>159</v>
      </c>
      <c r="D17" s="25" t="s">
        <v>153</v>
      </c>
      <c r="E17" s="25" t="s">
        <v>153</v>
      </c>
      <c r="F17" s="2" t="s">
        <v>266</v>
      </c>
      <c r="G17" s="2" t="s">
        <v>148</v>
      </c>
      <c r="H17" s="24" t="s">
        <v>150</v>
      </c>
      <c r="I17" s="5" t="s">
        <v>153</v>
      </c>
      <c r="J17" s="4" t="str">
        <f>VLOOKUP(A17,Sheet3!$A$1:$B$75,2,FALSE)</f>
        <v>BBB-</v>
      </c>
      <c r="K17" s="4" t="s">
        <v>232</v>
      </c>
    </row>
    <row r="18" spans="1:11" ht="14.25" customHeight="1">
      <c r="A18" s="2" t="s">
        <v>34</v>
      </c>
      <c r="B18" s="2" t="s">
        <v>35</v>
      </c>
      <c r="C18" t="s">
        <v>159</v>
      </c>
      <c r="D18" s="25" t="s">
        <v>153</v>
      </c>
      <c r="E18" s="25" t="s">
        <v>153</v>
      </c>
      <c r="F18" s="2" t="s">
        <v>267</v>
      </c>
      <c r="G18" s="2" t="s">
        <v>148</v>
      </c>
      <c r="H18" s="24" t="s">
        <v>150</v>
      </c>
      <c r="I18" s="5" t="s">
        <v>153</v>
      </c>
      <c r="J18" s="4" t="str">
        <f>VLOOKUP(A18,Sheet3!$A$1:$B$75,2,FALSE)</f>
        <v>A-</v>
      </c>
      <c r="K18" s="4" t="s">
        <v>234</v>
      </c>
    </row>
    <row r="19" spans="1:11" ht="14.25" customHeight="1">
      <c r="A19" s="2" t="s">
        <v>36</v>
      </c>
      <c r="B19" s="2" t="s">
        <v>37</v>
      </c>
      <c r="C19" t="s">
        <v>159</v>
      </c>
      <c r="D19" s="25" t="s">
        <v>153</v>
      </c>
      <c r="E19" s="25" t="s">
        <v>153</v>
      </c>
      <c r="F19" s="2" t="s">
        <v>268</v>
      </c>
      <c r="G19" s="2" t="s">
        <v>148</v>
      </c>
      <c r="H19" s="24" t="s">
        <v>150</v>
      </c>
      <c r="I19" s="5" t="s">
        <v>153</v>
      </c>
      <c r="J19" s="4" t="str">
        <f>VLOOKUP(A19,Sheet3!$A$1:$B$75,2,FALSE)</f>
        <v>Em desenvolvimento</v>
      </c>
      <c r="K19" s="4" t="s">
        <v>234</v>
      </c>
    </row>
    <row r="20" spans="1:11" ht="14.25" customHeight="1">
      <c r="A20" s="2" t="s">
        <v>38</v>
      </c>
      <c r="B20" s="2" t="s">
        <v>39</v>
      </c>
      <c r="C20" t="s">
        <v>159</v>
      </c>
      <c r="D20" s="25" t="s">
        <v>153</v>
      </c>
      <c r="E20" s="25" t="s">
        <v>153</v>
      </c>
      <c r="F20" s="2" t="s">
        <v>260</v>
      </c>
      <c r="G20" s="2" t="s">
        <v>148</v>
      </c>
      <c r="H20" s="24" t="s">
        <v>150</v>
      </c>
      <c r="I20" s="5" t="s">
        <v>153</v>
      </c>
      <c r="J20" s="4" t="str">
        <f>VLOOKUP(A20,Sheet3!$A$1:$B$75,2,FALSE)</f>
        <v>A</v>
      </c>
      <c r="K20" s="4" t="s">
        <v>230</v>
      </c>
    </row>
    <row r="21" spans="1:11" ht="14.25" customHeight="1">
      <c r="A21" s="2" t="s">
        <v>40</v>
      </c>
      <c r="B21" s="2" t="s">
        <v>3</v>
      </c>
      <c r="C21" t="s">
        <v>159</v>
      </c>
      <c r="D21" s="25" t="s">
        <v>153</v>
      </c>
      <c r="E21" s="25" t="s">
        <v>153</v>
      </c>
      <c r="F21" s="2" t="s">
        <v>279</v>
      </c>
      <c r="G21" s="2" t="s">
        <v>148</v>
      </c>
      <c r="H21" s="24" t="s">
        <v>150</v>
      </c>
      <c r="I21" s="5" t="s">
        <v>153</v>
      </c>
      <c r="J21" s="4" t="str">
        <f>VLOOKUP(A21,Sheet3!$A$1:$B$75,2,FALSE)</f>
        <v>A-</v>
      </c>
      <c r="K21" s="4" t="s">
        <v>229</v>
      </c>
    </row>
    <row r="22" spans="1:11" ht="14.25" customHeight="1">
      <c r="A22" s="2" t="s">
        <v>41</v>
      </c>
      <c r="B22" s="2" t="s">
        <v>42</v>
      </c>
      <c r="C22" t="s">
        <v>215</v>
      </c>
      <c r="D22" s="25" t="s">
        <v>153</v>
      </c>
      <c r="E22" s="25" t="s">
        <v>153</v>
      </c>
      <c r="F22" s="4" t="s">
        <v>237</v>
      </c>
      <c r="G22" s="2" t="s">
        <v>148</v>
      </c>
      <c r="H22" s="24" t="s">
        <v>150</v>
      </c>
      <c r="I22" s="5" t="s">
        <v>153</v>
      </c>
      <c r="J22" s="4" t="s">
        <v>313</v>
      </c>
      <c r="K22" s="4" t="s">
        <v>237</v>
      </c>
    </row>
    <row r="23" spans="1:11" ht="14.25" customHeight="1">
      <c r="A23" s="2" t="s">
        <v>43</v>
      </c>
      <c r="B23" s="2" t="s">
        <v>44</v>
      </c>
      <c r="C23" t="s">
        <v>215</v>
      </c>
      <c r="D23" s="25" t="s">
        <v>153</v>
      </c>
      <c r="E23" s="25" t="s">
        <v>153</v>
      </c>
      <c r="F23" s="4" t="s">
        <v>237</v>
      </c>
      <c r="G23" s="2" t="s">
        <v>148</v>
      </c>
      <c r="H23" s="24" t="s">
        <v>150</v>
      </c>
      <c r="I23" s="5" t="s">
        <v>153</v>
      </c>
      <c r="J23" s="4" t="s">
        <v>313</v>
      </c>
      <c r="K23" s="4" t="s">
        <v>237</v>
      </c>
    </row>
    <row r="24" spans="1:11" ht="14.25" customHeight="1">
      <c r="A24" s="2" t="s">
        <v>45</v>
      </c>
      <c r="B24" s="2" t="s">
        <v>46</v>
      </c>
      <c r="C24" t="s">
        <v>159</v>
      </c>
      <c r="D24" s="25" t="s">
        <v>153</v>
      </c>
      <c r="E24" s="25" t="s">
        <v>153</v>
      </c>
      <c r="F24" s="2" t="s">
        <v>276</v>
      </c>
      <c r="G24" s="2" t="s">
        <v>148</v>
      </c>
      <c r="H24" s="24" t="s">
        <v>150</v>
      </c>
      <c r="I24" s="5" t="s">
        <v>153</v>
      </c>
      <c r="J24" s="4" t="str">
        <f>VLOOKUP(A24,Sheet3!$A$1:$B$75,2,FALSE)</f>
        <v>A+</v>
      </c>
      <c r="K24" s="4" t="s">
        <v>241</v>
      </c>
    </row>
    <row r="25" spans="1:11" ht="14.25" customHeight="1">
      <c r="A25" s="2" t="s">
        <v>47</v>
      </c>
      <c r="B25" s="2" t="s">
        <v>48</v>
      </c>
      <c r="C25" t="s">
        <v>159</v>
      </c>
      <c r="D25" s="25" t="s">
        <v>153</v>
      </c>
      <c r="E25" s="25" t="s">
        <v>153</v>
      </c>
      <c r="F25" s="2" t="s">
        <v>269</v>
      </c>
      <c r="G25" s="2" t="s">
        <v>148</v>
      </c>
      <c r="H25" s="24" t="s">
        <v>150</v>
      </c>
      <c r="I25" s="5" t="s">
        <v>153</v>
      </c>
      <c r="J25" s="4" t="str">
        <f>VLOOKUP(A25,Sheet3!$A$1:$B$75,2,FALSE)</f>
        <v>A+</v>
      </c>
      <c r="K25" t="s">
        <v>240</v>
      </c>
    </row>
    <row r="26" spans="1:11" ht="14.25" customHeight="1">
      <c r="A26" s="2" t="s">
        <v>49</v>
      </c>
      <c r="B26" s="2" t="s">
        <v>50</v>
      </c>
      <c r="C26" t="s">
        <v>215</v>
      </c>
      <c r="D26" s="25" t="s">
        <v>153</v>
      </c>
      <c r="E26" s="25" t="s">
        <v>153</v>
      </c>
      <c r="F26" s="2" t="s">
        <v>239</v>
      </c>
      <c r="G26" s="2" t="s">
        <v>148</v>
      </c>
      <c r="H26" s="24" t="s">
        <v>150</v>
      </c>
      <c r="I26" s="5" t="s">
        <v>153</v>
      </c>
      <c r="J26" s="4" t="str">
        <f>VLOOKUP(A26,Sheet3!$A$1:$B$75,2,FALSE)</f>
        <v>Aa3</v>
      </c>
      <c r="K26" t="s">
        <v>239</v>
      </c>
    </row>
    <row r="27" spans="1:11" ht="14.25" customHeight="1">
      <c r="A27" s="2" t="s">
        <v>51</v>
      </c>
      <c r="B27" s="2" t="s">
        <v>52</v>
      </c>
      <c r="C27" t="s">
        <v>159</v>
      </c>
      <c r="D27" s="25" t="s">
        <v>153</v>
      </c>
      <c r="E27" s="25" t="s">
        <v>153</v>
      </c>
      <c r="F27" s="2" t="s">
        <v>277</v>
      </c>
      <c r="G27" s="2" t="s">
        <v>148</v>
      </c>
      <c r="H27" s="24" t="s">
        <v>150</v>
      </c>
      <c r="I27" s="5" t="s">
        <v>153</v>
      </c>
      <c r="J27" s="4" t="s">
        <v>313</v>
      </c>
      <c r="K27" t="s">
        <v>242</v>
      </c>
    </row>
    <row r="28" spans="1:11" ht="14.25" customHeight="1">
      <c r="A28" s="2" t="s">
        <v>53</v>
      </c>
      <c r="B28" s="2" t="s">
        <v>54</v>
      </c>
      <c r="C28" t="s">
        <v>215</v>
      </c>
      <c r="D28" s="25" t="s">
        <v>153</v>
      </c>
      <c r="E28" s="25" t="s">
        <v>153</v>
      </c>
      <c r="F28" s="2" t="s">
        <v>243</v>
      </c>
      <c r="G28" s="2" t="s">
        <v>148</v>
      </c>
      <c r="H28" s="24" t="s">
        <v>150</v>
      </c>
      <c r="I28" s="5" t="s">
        <v>153</v>
      </c>
      <c r="J28" s="4" t="s">
        <v>313</v>
      </c>
      <c r="K28" s="2" t="s">
        <v>243</v>
      </c>
    </row>
    <row r="29" spans="1:11" ht="14.25" customHeight="1">
      <c r="A29" s="2" t="s">
        <v>55</v>
      </c>
      <c r="B29" s="2" t="s">
        <v>56</v>
      </c>
      <c r="C29" t="s">
        <v>215</v>
      </c>
      <c r="D29" s="25" t="s">
        <v>153</v>
      </c>
      <c r="E29" s="25" t="s">
        <v>153</v>
      </c>
      <c r="F29" s="2" t="s">
        <v>244</v>
      </c>
      <c r="G29" s="2" t="s">
        <v>164</v>
      </c>
      <c r="H29" s="24" t="s">
        <v>150</v>
      </c>
      <c r="I29" s="5" t="s">
        <v>153</v>
      </c>
      <c r="J29" s="4" t="str">
        <f>VLOOKUP(A29,Sheet3!$A$1:$B$75,2,FALSE)</f>
        <v>BBB+</v>
      </c>
      <c r="K29" s="2" t="s">
        <v>244</v>
      </c>
    </row>
    <row r="30" spans="1:11" ht="14.25" customHeight="1">
      <c r="A30" s="2" t="s">
        <v>57</v>
      </c>
      <c r="B30" s="2" t="s">
        <v>58</v>
      </c>
      <c r="C30" t="s">
        <v>159</v>
      </c>
      <c r="D30" s="25" t="s">
        <v>153</v>
      </c>
      <c r="E30" s="25" t="s">
        <v>153</v>
      </c>
      <c r="F30" s="2" t="s">
        <v>232</v>
      </c>
      <c r="G30" s="2" t="s">
        <v>148</v>
      </c>
      <c r="H30" s="24" t="s">
        <v>150</v>
      </c>
      <c r="I30" s="5" t="s">
        <v>153</v>
      </c>
      <c r="J30" s="4" t="str">
        <f>VLOOKUP(A30,Sheet3!$A$1:$B$75,2,FALSE)</f>
        <v>A+</v>
      </c>
      <c r="K30" s="2" t="s">
        <v>232</v>
      </c>
    </row>
    <row r="31" spans="1:11" ht="14.25" customHeight="1">
      <c r="A31" s="2" t="s">
        <v>59</v>
      </c>
      <c r="B31" s="2" t="s">
        <v>60</v>
      </c>
      <c r="C31" t="s">
        <v>215</v>
      </c>
      <c r="D31" s="25" t="s">
        <v>153</v>
      </c>
      <c r="E31" s="25" t="s">
        <v>153</v>
      </c>
      <c r="F31" s="2" t="s">
        <v>243</v>
      </c>
      <c r="G31" s="2" t="s">
        <v>148</v>
      </c>
      <c r="H31" s="24" t="s">
        <v>150</v>
      </c>
      <c r="I31" s="5" t="s">
        <v>153</v>
      </c>
      <c r="J31" s="4" t="s">
        <v>313</v>
      </c>
      <c r="K31" s="6" t="s">
        <v>243</v>
      </c>
    </row>
    <row r="32" spans="1:11" ht="14.25" customHeight="1">
      <c r="A32" s="2" t="s">
        <v>61</v>
      </c>
      <c r="B32" s="2" t="s">
        <v>62</v>
      </c>
      <c r="C32" t="s">
        <v>159</v>
      </c>
      <c r="D32" s="25" t="s">
        <v>153</v>
      </c>
      <c r="E32" s="25" t="s">
        <v>153</v>
      </c>
      <c r="F32" s="2" t="s">
        <v>278</v>
      </c>
      <c r="G32" s="2" t="s">
        <v>148</v>
      </c>
      <c r="H32" s="24" t="s">
        <v>150</v>
      </c>
      <c r="I32" s="5" t="s">
        <v>153</v>
      </c>
      <c r="J32" s="4" t="str">
        <f>VLOOKUP(A32,Sheet3!$A$1:$B$75,2,FALSE)</f>
        <v>A-</v>
      </c>
      <c r="K32" s="6" t="s">
        <v>245</v>
      </c>
    </row>
    <row r="33" spans="1:11" ht="14.25" customHeight="1">
      <c r="A33" s="2" t="s">
        <v>63</v>
      </c>
      <c r="B33" s="2" t="s">
        <v>64</v>
      </c>
      <c r="C33" t="s">
        <v>215</v>
      </c>
      <c r="D33" s="25" t="s">
        <v>153</v>
      </c>
      <c r="E33" s="25" t="s">
        <v>153</v>
      </c>
      <c r="F33" s="2" t="s">
        <v>246</v>
      </c>
      <c r="G33" s="2" t="s">
        <v>148</v>
      </c>
      <c r="H33" s="24" t="s">
        <v>150</v>
      </c>
      <c r="I33" s="5" t="s">
        <v>153</v>
      </c>
      <c r="J33" s="4" t="str">
        <f>VLOOKUP(A33,Sheet3!$A$1:$B$75,2,FALSE)</f>
        <v>CC</v>
      </c>
      <c r="K33" s="6" t="s">
        <v>246</v>
      </c>
    </row>
    <row r="34" spans="1:11" ht="14.25" customHeight="1">
      <c r="A34" s="2" t="s">
        <v>65</v>
      </c>
      <c r="B34" s="2" t="s">
        <v>66</v>
      </c>
      <c r="C34" t="s">
        <v>159</v>
      </c>
      <c r="D34" s="25" t="s">
        <v>153</v>
      </c>
      <c r="E34" s="25" t="s">
        <v>153</v>
      </c>
      <c r="F34" s="2" t="s">
        <v>232</v>
      </c>
      <c r="G34" s="2" t="s">
        <v>148</v>
      </c>
      <c r="H34" s="24" t="s">
        <v>150</v>
      </c>
      <c r="I34" s="5" t="s">
        <v>153</v>
      </c>
      <c r="J34" s="4" t="s">
        <v>313</v>
      </c>
      <c r="K34" s="2" t="s">
        <v>232</v>
      </c>
    </row>
    <row r="35" spans="1:11" ht="14.25" customHeight="1">
      <c r="A35" s="2" t="s">
        <v>67</v>
      </c>
      <c r="B35" s="2" t="s">
        <v>68</v>
      </c>
      <c r="C35" t="s">
        <v>159</v>
      </c>
      <c r="D35" s="25" t="s">
        <v>153</v>
      </c>
      <c r="E35" s="25" t="s">
        <v>153</v>
      </c>
      <c r="F35" s="2" t="s">
        <v>232</v>
      </c>
      <c r="G35" s="2" t="s">
        <v>148</v>
      </c>
      <c r="H35" s="24" t="s">
        <v>150</v>
      </c>
      <c r="I35" s="5" t="s">
        <v>153</v>
      </c>
      <c r="J35" s="4" t="s">
        <v>313</v>
      </c>
      <c r="K35" s="2" t="s">
        <v>232</v>
      </c>
    </row>
    <row r="36" spans="1:11" ht="14.25" customHeight="1">
      <c r="A36" s="2" t="s">
        <v>69</v>
      </c>
      <c r="B36" s="2" t="s">
        <v>70</v>
      </c>
      <c r="C36" t="s">
        <v>215</v>
      </c>
      <c r="D36" s="25" t="s">
        <v>153</v>
      </c>
      <c r="E36" s="25" t="s">
        <v>153</v>
      </c>
      <c r="F36" s="2" t="s">
        <v>247</v>
      </c>
      <c r="G36" s="2" t="s">
        <v>148</v>
      </c>
      <c r="H36" s="24" t="s">
        <v>150</v>
      </c>
      <c r="I36" s="5" t="s">
        <v>153</v>
      </c>
      <c r="J36" s="4" t="str">
        <f>VLOOKUP(A36,Sheet3!$A$1:$B$75,2,FALSE)</f>
        <v>AA</v>
      </c>
      <c r="K36" s="6" t="s">
        <v>247</v>
      </c>
    </row>
    <row r="37" spans="1:11" ht="14.25" customHeight="1">
      <c r="A37" s="2" t="s">
        <v>71</v>
      </c>
      <c r="B37" s="2" t="s">
        <v>33</v>
      </c>
      <c r="C37" t="s">
        <v>159</v>
      </c>
      <c r="D37" s="25" t="s">
        <v>153</v>
      </c>
      <c r="E37" s="25" t="s">
        <v>153</v>
      </c>
      <c r="F37" s="2" t="s">
        <v>232</v>
      </c>
      <c r="G37" s="2" t="s">
        <v>148</v>
      </c>
      <c r="H37" s="24" t="s">
        <v>150</v>
      </c>
      <c r="I37" s="5" t="s">
        <v>153</v>
      </c>
      <c r="J37" s="4" t="str">
        <f>VLOOKUP(A37,Sheet3!$A$1:$B$75,2,FALSE)</f>
        <v>BBB-</v>
      </c>
      <c r="K37" s="2" t="s">
        <v>232</v>
      </c>
    </row>
    <row r="38" spans="1:11" ht="14.25" customHeight="1">
      <c r="A38" s="2" t="s">
        <v>72</v>
      </c>
      <c r="B38" s="2" t="s">
        <v>73</v>
      </c>
      <c r="C38" t="s">
        <v>159</v>
      </c>
      <c r="D38" s="25" t="s">
        <v>153</v>
      </c>
      <c r="E38" s="25" t="s">
        <v>153</v>
      </c>
      <c r="F38" s="2" t="s">
        <v>232</v>
      </c>
      <c r="G38" s="2" t="s">
        <v>148</v>
      </c>
      <c r="H38" s="24" t="s">
        <v>150</v>
      </c>
      <c r="I38" s="5" t="s">
        <v>153</v>
      </c>
      <c r="J38" s="4" t="str">
        <f>VLOOKUP(A38,Sheet3!$A$1:$B$75,2,FALSE)</f>
        <v>BB+</v>
      </c>
      <c r="K38" s="2" t="s">
        <v>232</v>
      </c>
    </row>
    <row r="39" spans="1:11" ht="14.25" customHeight="1">
      <c r="A39" s="2" t="s">
        <v>74</v>
      </c>
      <c r="B39" s="2" t="s">
        <v>75</v>
      </c>
      <c r="C39" t="s">
        <v>215</v>
      </c>
      <c r="D39" s="25" t="s">
        <v>153</v>
      </c>
      <c r="E39" s="25" t="s">
        <v>153</v>
      </c>
      <c r="F39" s="2" t="s">
        <v>248</v>
      </c>
      <c r="G39" s="2" t="s">
        <v>148</v>
      </c>
      <c r="H39" s="24" t="s">
        <v>150</v>
      </c>
      <c r="I39" s="5" t="s">
        <v>153</v>
      </c>
      <c r="J39" s="4" t="str">
        <f>VLOOKUP(A39,Sheet3!$A$1:$B$75,2,FALSE)</f>
        <v>Aa2</v>
      </c>
      <c r="K39" s="2" t="s">
        <v>248</v>
      </c>
    </row>
    <row r="40" spans="1:11" ht="14.25" customHeight="1">
      <c r="A40" s="2" t="s">
        <v>76</v>
      </c>
      <c r="B40" s="2" t="s">
        <v>9</v>
      </c>
      <c r="C40" t="s">
        <v>159</v>
      </c>
      <c r="D40" s="25" t="s">
        <v>153</v>
      </c>
      <c r="E40" s="25" t="s">
        <v>153</v>
      </c>
      <c r="F40" s="2" t="s">
        <v>270</v>
      </c>
      <c r="G40" s="2" t="s">
        <v>148</v>
      </c>
      <c r="H40" s="24" t="s">
        <v>150</v>
      </c>
      <c r="I40" s="5" t="s">
        <v>153</v>
      </c>
      <c r="J40" s="4" t="str">
        <f>VLOOKUP(A40,Sheet3!$A$1:$B$75,2,FALSE)</f>
        <v>Em desenvolvimento</v>
      </c>
      <c r="K40" s="6" t="s">
        <v>232</v>
      </c>
    </row>
    <row r="41" spans="1:11" ht="14.25" customHeight="1">
      <c r="A41" s="2" t="s">
        <v>77</v>
      </c>
      <c r="B41" s="2" t="s">
        <v>11</v>
      </c>
      <c r="C41" t="s">
        <v>159</v>
      </c>
      <c r="D41" s="25" t="s">
        <v>153</v>
      </c>
      <c r="E41" s="25" t="s">
        <v>153</v>
      </c>
      <c r="F41" s="2" t="s">
        <v>271</v>
      </c>
      <c r="G41" s="2" t="s">
        <v>148</v>
      </c>
      <c r="H41" s="24" t="s">
        <v>150</v>
      </c>
      <c r="I41" s="5" t="s">
        <v>153</v>
      </c>
      <c r="J41" s="4" t="str">
        <f>VLOOKUP(A41,Sheet3!$A$1:$B$75,2,FALSE)</f>
        <v>Em desenvolvimento</v>
      </c>
      <c r="K41" s="6" t="s">
        <v>232</v>
      </c>
    </row>
    <row r="42" spans="1:11" ht="14.25" customHeight="1">
      <c r="A42" s="2" t="s">
        <v>78</v>
      </c>
      <c r="B42" s="2" t="s">
        <v>79</v>
      </c>
      <c r="C42" t="s">
        <v>215</v>
      </c>
      <c r="D42" s="25" t="s">
        <v>153</v>
      </c>
      <c r="E42" s="25" t="s">
        <v>153</v>
      </c>
      <c r="F42" s="2" t="s">
        <v>249</v>
      </c>
      <c r="G42" s="2" t="s">
        <v>148</v>
      </c>
      <c r="H42" s="24" t="s">
        <v>150</v>
      </c>
      <c r="I42" s="5" t="s">
        <v>153</v>
      </c>
      <c r="J42" s="4" t="str">
        <f>VLOOKUP(A42,Sheet3!$A$1:$B$75,2,FALSE)</f>
        <v>A+</v>
      </c>
      <c r="K42" s="2" t="s">
        <v>249</v>
      </c>
    </row>
    <row r="43" spans="1:11" ht="14.25" customHeight="1">
      <c r="A43" s="2" t="s">
        <v>80</v>
      </c>
      <c r="B43" s="2" t="s">
        <v>17</v>
      </c>
      <c r="C43" t="s">
        <v>159</v>
      </c>
      <c r="D43" s="25" t="s">
        <v>153</v>
      </c>
      <c r="E43" s="25" t="s">
        <v>153</v>
      </c>
      <c r="F43" s="2" t="s">
        <v>272</v>
      </c>
      <c r="G43" s="2" t="s">
        <v>148</v>
      </c>
      <c r="H43" s="24" t="s">
        <v>150</v>
      </c>
      <c r="I43" s="5" t="s">
        <v>153</v>
      </c>
      <c r="J43" s="4" t="str">
        <f>VLOOKUP(A43,Sheet3!$A$1:$B$75,2,FALSE)</f>
        <v>A-</v>
      </c>
      <c r="K43" s="6" t="s">
        <v>234</v>
      </c>
    </row>
    <row r="44" spans="1:11" ht="14.25" customHeight="1">
      <c r="A44" s="2" t="s">
        <v>81</v>
      </c>
      <c r="B44" s="2" t="s">
        <v>82</v>
      </c>
      <c r="C44" t="s">
        <v>215</v>
      </c>
      <c r="D44" s="25" t="s">
        <v>153</v>
      </c>
      <c r="E44" s="25" t="s">
        <v>153</v>
      </c>
      <c r="F44" s="2" t="s">
        <v>250</v>
      </c>
      <c r="G44" s="2" t="s">
        <v>148</v>
      </c>
      <c r="H44" s="24" t="s">
        <v>150</v>
      </c>
      <c r="I44" s="5" t="s">
        <v>153</v>
      </c>
      <c r="J44" s="4" t="str">
        <f>VLOOKUP(A44,Sheet3!$A$1:$B$75,2,FALSE)</f>
        <v>A1</v>
      </c>
      <c r="K44" s="6" t="s">
        <v>250</v>
      </c>
    </row>
    <row r="45" spans="1:11" ht="14.25" customHeight="1">
      <c r="A45" s="2" t="s">
        <v>83</v>
      </c>
      <c r="B45" s="2" t="s">
        <v>35</v>
      </c>
      <c r="C45" t="s">
        <v>159</v>
      </c>
      <c r="D45" s="25" t="s">
        <v>153</v>
      </c>
      <c r="E45" s="25" t="s">
        <v>153</v>
      </c>
      <c r="F45" s="2" t="s">
        <v>273</v>
      </c>
      <c r="G45" s="2" t="s">
        <v>148</v>
      </c>
      <c r="H45" s="24" t="s">
        <v>150</v>
      </c>
      <c r="I45" s="5" t="s">
        <v>153</v>
      </c>
      <c r="J45" s="4" t="str">
        <f>VLOOKUP(A45,Sheet3!$A$1:$B$75,2,FALSE)</f>
        <v>A-</v>
      </c>
      <c r="K45" s="6" t="s">
        <v>234</v>
      </c>
    </row>
    <row r="46" spans="1:11" ht="14.25" customHeight="1">
      <c r="A46" s="2" t="s">
        <v>84</v>
      </c>
      <c r="B46" s="2" t="s">
        <v>33</v>
      </c>
      <c r="C46" t="s">
        <v>159</v>
      </c>
      <c r="D46" s="25" t="s">
        <v>153</v>
      </c>
      <c r="E46" s="25" t="s">
        <v>153</v>
      </c>
      <c r="F46" s="2" t="s">
        <v>274</v>
      </c>
      <c r="G46" s="2" t="s">
        <v>148</v>
      </c>
      <c r="H46" s="24" t="s">
        <v>150</v>
      </c>
      <c r="I46" s="5" t="s">
        <v>153</v>
      </c>
      <c r="J46" s="4" t="str">
        <f>VLOOKUP(A46,Sheet3!$A$1:$B$75,2,FALSE)</f>
        <v>BBB-</v>
      </c>
      <c r="K46" s="6" t="s">
        <v>232</v>
      </c>
    </row>
    <row r="47" spans="1:11" ht="14.25" customHeight="1">
      <c r="A47" s="2" t="s">
        <v>85</v>
      </c>
      <c r="B47" s="2" t="s">
        <v>86</v>
      </c>
      <c r="C47" t="s">
        <v>215</v>
      </c>
      <c r="D47" s="25" t="s">
        <v>153</v>
      </c>
      <c r="E47" s="25" t="s">
        <v>153</v>
      </c>
      <c r="F47" s="2" t="s">
        <v>194</v>
      </c>
      <c r="G47" s="2" t="s">
        <v>148</v>
      </c>
      <c r="H47" s="24" t="s">
        <v>150</v>
      </c>
      <c r="I47" s="5" t="s">
        <v>153</v>
      </c>
      <c r="J47" s="4" t="str">
        <f>VLOOKUP(A47,Sheet3!$A$1:$B$75,2,FALSE)</f>
        <v>Baa1</v>
      </c>
      <c r="K47" s="2" t="s">
        <v>194</v>
      </c>
    </row>
    <row r="48" spans="1:11" ht="14.25" customHeight="1">
      <c r="A48" s="2" t="s">
        <v>87</v>
      </c>
      <c r="B48" s="2" t="s">
        <v>25</v>
      </c>
      <c r="C48" t="s">
        <v>159</v>
      </c>
      <c r="D48" s="25" t="s">
        <v>153</v>
      </c>
      <c r="E48" s="25" t="s">
        <v>153</v>
      </c>
      <c r="F48" s="2" t="s">
        <v>237</v>
      </c>
      <c r="G48" s="2" t="s">
        <v>148</v>
      </c>
      <c r="H48" s="24" t="s">
        <v>150</v>
      </c>
      <c r="I48" s="5" t="s">
        <v>153</v>
      </c>
      <c r="J48" s="4" t="str">
        <f>VLOOKUP(A48,Sheet3!$A$1:$B$75,2,FALSE)</f>
        <v>BBB+</v>
      </c>
      <c r="K48" s="6" t="s">
        <v>237</v>
      </c>
    </row>
    <row r="49" spans="1:11" ht="14.25" customHeight="1">
      <c r="A49" s="2" t="s">
        <v>88</v>
      </c>
      <c r="B49" s="2" t="s">
        <v>29</v>
      </c>
      <c r="C49" t="s">
        <v>159</v>
      </c>
      <c r="D49" s="25" t="s">
        <v>153</v>
      </c>
      <c r="E49" s="25" t="s">
        <v>153</v>
      </c>
      <c r="F49" s="2" t="s">
        <v>261</v>
      </c>
      <c r="G49" s="2" t="s">
        <v>148</v>
      </c>
      <c r="H49" s="24" t="s">
        <v>150</v>
      </c>
      <c r="I49" s="5" t="s">
        <v>153</v>
      </c>
      <c r="J49" s="4" t="str">
        <f>VLOOKUP(A49,Sheet3!$A$1:$B$75,2,FALSE)</f>
        <v>A</v>
      </c>
      <c r="K49" s="6" t="s">
        <v>238</v>
      </c>
    </row>
    <row r="50" spans="1:11" ht="14.25" customHeight="1">
      <c r="A50" s="2" t="s">
        <v>89</v>
      </c>
      <c r="B50" s="2" t="s">
        <v>31</v>
      </c>
      <c r="C50" t="s">
        <v>159</v>
      </c>
      <c r="D50" s="25" t="s">
        <v>153</v>
      </c>
      <c r="E50" s="25" t="s">
        <v>153</v>
      </c>
      <c r="F50" s="2" t="s">
        <v>262</v>
      </c>
      <c r="G50" s="2" t="s">
        <v>148</v>
      </c>
      <c r="H50" s="24" t="s">
        <v>150</v>
      </c>
      <c r="I50" s="5" t="s">
        <v>153</v>
      </c>
      <c r="J50" s="4" t="str">
        <f>VLOOKUP(A50,Sheet3!$A$1:$B$75,2,FALSE)</f>
        <v>BBB+</v>
      </c>
      <c r="K50" s="6" t="s">
        <v>238</v>
      </c>
    </row>
    <row r="51" spans="1:11" ht="14.25" customHeight="1">
      <c r="A51" s="2" t="s">
        <v>90</v>
      </c>
      <c r="B51" s="2" t="s">
        <v>37</v>
      </c>
      <c r="C51" t="s">
        <v>159</v>
      </c>
      <c r="D51" s="25" t="s">
        <v>153</v>
      </c>
      <c r="E51" s="25" t="s">
        <v>153</v>
      </c>
      <c r="F51" s="2" t="s">
        <v>275</v>
      </c>
      <c r="G51" s="2" t="s">
        <v>148</v>
      </c>
      <c r="H51" s="24" t="s">
        <v>150</v>
      </c>
      <c r="I51" s="5" t="s">
        <v>153</v>
      </c>
      <c r="J51" s="4" t="str">
        <f>VLOOKUP(A51,Sheet3!$A$1:$B$75,2,FALSE)</f>
        <v>Em desenvolvimento</v>
      </c>
      <c r="K51" s="6" t="s">
        <v>234</v>
      </c>
    </row>
    <row r="52" spans="1:11" ht="14.25" customHeight="1">
      <c r="A52" s="2" t="s">
        <v>91</v>
      </c>
      <c r="B52" s="2" t="s">
        <v>92</v>
      </c>
      <c r="C52" t="s">
        <v>215</v>
      </c>
      <c r="D52" s="25" t="s">
        <v>153</v>
      </c>
      <c r="E52" s="25" t="s">
        <v>153</v>
      </c>
      <c r="F52" s="2" t="s">
        <v>251</v>
      </c>
      <c r="G52" s="2" t="s">
        <v>148</v>
      </c>
      <c r="H52" s="24" t="s">
        <v>150</v>
      </c>
      <c r="I52" s="5" t="s">
        <v>153</v>
      </c>
      <c r="J52" s="4" t="str">
        <f>VLOOKUP(A52,Sheet3!$A$1:$B$75,2,FALSE)</f>
        <v>Aa2</v>
      </c>
      <c r="K52" s="2" t="s">
        <v>251</v>
      </c>
    </row>
    <row r="53" spans="1:11" ht="14.25" customHeight="1">
      <c r="A53" s="2" t="s">
        <v>93</v>
      </c>
      <c r="B53" s="2" t="s">
        <v>39</v>
      </c>
      <c r="C53" t="s">
        <v>159</v>
      </c>
      <c r="D53" s="25" t="s">
        <v>153</v>
      </c>
      <c r="E53" s="25" t="s">
        <v>153</v>
      </c>
      <c r="F53" s="2" t="s">
        <v>263</v>
      </c>
      <c r="G53" s="2" t="s">
        <v>148</v>
      </c>
      <c r="H53" s="24" t="s">
        <v>150</v>
      </c>
      <c r="I53" s="5" t="s">
        <v>153</v>
      </c>
      <c r="J53" s="4" t="str">
        <f>VLOOKUP(A53,Sheet3!$A$1:$B$75,2,FALSE)</f>
        <v>A</v>
      </c>
      <c r="K53" s="6" t="s">
        <v>233</v>
      </c>
    </row>
    <row r="54" spans="1:11" ht="14.25" customHeight="1">
      <c r="A54" s="2" t="s">
        <v>94</v>
      </c>
      <c r="B54" s="2" t="s">
        <v>95</v>
      </c>
      <c r="C54" t="s">
        <v>156</v>
      </c>
      <c r="D54" s="25" t="s">
        <v>153</v>
      </c>
      <c r="E54" s="25" t="s">
        <v>153</v>
      </c>
      <c r="F54" s="2" t="s">
        <v>252</v>
      </c>
      <c r="G54" s="2" t="s">
        <v>149</v>
      </c>
      <c r="H54" s="24" t="s">
        <v>150</v>
      </c>
      <c r="I54" s="5" t="s">
        <v>153</v>
      </c>
      <c r="J54" s="4" t="str">
        <f>VLOOKUP(A54,Sheet3!$A$1:$B$75,2,FALSE)</f>
        <v>AAA</v>
      </c>
      <c r="K54" s="2" t="s">
        <v>252</v>
      </c>
    </row>
    <row r="55" spans="1:11" ht="14.25" customHeight="1">
      <c r="A55" s="2" t="s">
        <v>96</v>
      </c>
      <c r="B55" s="2" t="s">
        <v>97</v>
      </c>
      <c r="C55" t="s">
        <v>156</v>
      </c>
      <c r="D55" s="25" t="s">
        <v>153</v>
      </c>
      <c r="E55" s="25" t="s">
        <v>153</v>
      </c>
      <c r="F55" s="2" t="s">
        <v>253</v>
      </c>
      <c r="G55" s="2" t="s">
        <v>149</v>
      </c>
      <c r="H55" s="24" t="s">
        <v>150</v>
      </c>
      <c r="I55" s="5" t="s">
        <v>153</v>
      </c>
      <c r="J55" s="4" t="str">
        <f>VLOOKUP(A55,Sheet3!$A$1:$B$75,2,FALSE)</f>
        <v>AAA</v>
      </c>
      <c r="K55" s="2" t="s">
        <v>253</v>
      </c>
    </row>
    <row r="56" spans="1:11" ht="14.25" customHeight="1">
      <c r="A56" s="2" t="s">
        <v>98</v>
      </c>
      <c r="B56" s="2" t="s">
        <v>99</v>
      </c>
      <c r="C56" t="s">
        <v>156</v>
      </c>
      <c r="D56" s="25" t="s">
        <v>153</v>
      </c>
      <c r="E56" s="25" t="s">
        <v>153</v>
      </c>
      <c r="F56" s="2" t="s">
        <v>257</v>
      </c>
      <c r="G56" s="2" t="s">
        <v>149</v>
      </c>
      <c r="H56" s="24" t="s">
        <v>150</v>
      </c>
      <c r="I56" s="5" t="s">
        <v>153</v>
      </c>
      <c r="J56" s="4" t="s">
        <v>313</v>
      </c>
      <c r="K56" s="6" t="s">
        <v>257</v>
      </c>
    </row>
    <row r="57" spans="1:11" ht="14.25" customHeight="1">
      <c r="A57" s="2" t="s">
        <v>100</v>
      </c>
      <c r="B57" s="2" t="s">
        <v>101</v>
      </c>
      <c r="C57" t="s">
        <v>156</v>
      </c>
      <c r="D57" s="25" t="s">
        <v>153</v>
      </c>
      <c r="E57" s="25" t="s">
        <v>153</v>
      </c>
      <c r="F57" s="2" t="s">
        <v>254</v>
      </c>
      <c r="G57" s="2" t="s">
        <v>149</v>
      </c>
      <c r="H57" s="24" t="s">
        <v>150</v>
      </c>
      <c r="I57" s="5" t="s">
        <v>153</v>
      </c>
      <c r="J57" s="4" t="str">
        <f>VLOOKUP(A57,Sheet3!$A$1:$B$75,2,FALSE)</f>
        <v>AA</v>
      </c>
      <c r="K57" s="2" t="s">
        <v>254</v>
      </c>
    </row>
    <row r="58" spans="1:11" ht="14.25" customHeight="1">
      <c r="A58" s="2" t="s">
        <v>102</v>
      </c>
      <c r="B58" s="2" t="s">
        <v>103</v>
      </c>
      <c r="C58" t="s">
        <v>156</v>
      </c>
      <c r="D58" s="25" t="s">
        <v>153</v>
      </c>
      <c r="E58" s="25" t="s">
        <v>153</v>
      </c>
      <c r="F58" s="2" t="s">
        <v>255</v>
      </c>
      <c r="G58" s="2" t="s">
        <v>149</v>
      </c>
      <c r="H58" s="24" t="s">
        <v>150</v>
      </c>
      <c r="I58" s="5" t="s">
        <v>153</v>
      </c>
      <c r="J58" s="4" t="str">
        <f>VLOOKUP(A58,Sheet3!$A$1:$B$75,2,FALSE)</f>
        <v>BBB</v>
      </c>
      <c r="K58" s="2" t="s">
        <v>255</v>
      </c>
    </row>
    <row r="59" spans="1:11" ht="14.25" customHeight="1">
      <c r="A59" s="2" t="s">
        <v>104</v>
      </c>
      <c r="B59" s="2" t="s">
        <v>105</v>
      </c>
      <c r="C59" t="s">
        <v>156</v>
      </c>
      <c r="D59" s="25" t="s">
        <v>153</v>
      </c>
      <c r="E59" s="25" t="s">
        <v>153</v>
      </c>
      <c r="F59" s="2" t="s">
        <v>255</v>
      </c>
      <c r="G59" s="2" t="s">
        <v>149</v>
      </c>
      <c r="H59" s="24" t="s">
        <v>150</v>
      </c>
      <c r="I59" s="5" t="s">
        <v>153</v>
      </c>
      <c r="J59" s="4" t="s">
        <v>313</v>
      </c>
      <c r="K59" s="2" t="s">
        <v>255</v>
      </c>
    </row>
    <row r="60" spans="1:11" ht="14.25" customHeight="1">
      <c r="A60" s="2" t="s">
        <v>106</v>
      </c>
      <c r="B60" s="2" t="s">
        <v>102</v>
      </c>
      <c r="C60" t="s">
        <v>156</v>
      </c>
      <c r="D60" s="25" t="s">
        <v>153</v>
      </c>
      <c r="E60" s="25" t="s">
        <v>153</v>
      </c>
      <c r="F60" s="2" t="s">
        <v>255</v>
      </c>
      <c r="G60" s="2" t="s">
        <v>149</v>
      </c>
      <c r="H60" s="24" t="s">
        <v>150</v>
      </c>
      <c r="I60" s="5" t="s">
        <v>153</v>
      </c>
      <c r="J60" s="4" t="s">
        <v>313</v>
      </c>
      <c r="K60" s="2" t="s">
        <v>255</v>
      </c>
    </row>
    <row r="61" spans="1:11" ht="14.25" customHeight="1">
      <c r="A61" s="2" t="s">
        <v>107</v>
      </c>
      <c r="B61" s="2" t="s">
        <v>108</v>
      </c>
      <c r="C61" t="s">
        <v>156</v>
      </c>
      <c r="D61" s="25" t="s">
        <v>153</v>
      </c>
      <c r="E61" s="25" t="s">
        <v>153</v>
      </c>
      <c r="F61" s="2" t="s">
        <v>227</v>
      </c>
      <c r="G61" s="2" t="s">
        <v>149</v>
      </c>
      <c r="H61" s="24" t="s">
        <v>150</v>
      </c>
      <c r="I61" s="5" t="s">
        <v>153</v>
      </c>
      <c r="J61" s="4" t="str">
        <f>VLOOKUP(A61,Sheet3!$A$1:$B$75,2,FALSE)</f>
        <v>AAA</v>
      </c>
      <c r="K61" s="2" t="s">
        <v>227</v>
      </c>
    </row>
    <row r="62" spans="1:11" ht="14.25" customHeight="1">
      <c r="A62" s="2" t="s">
        <v>109</v>
      </c>
      <c r="B62" s="2" t="s">
        <v>110</v>
      </c>
      <c r="C62" t="s">
        <v>156</v>
      </c>
      <c r="D62" s="25" t="s">
        <v>153</v>
      </c>
      <c r="E62" s="25" t="s">
        <v>153</v>
      </c>
      <c r="F62" s="2" t="s">
        <v>227</v>
      </c>
      <c r="G62" s="2" t="s">
        <v>149</v>
      </c>
      <c r="H62" s="24" t="s">
        <v>150</v>
      </c>
      <c r="I62" s="5" t="s">
        <v>153</v>
      </c>
      <c r="J62" s="4" t="str">
        <f>VLOOKUP(A62,Sheet3!$A$1:$B$75,2,FALSE)</f>
        <v>AAA</v>
      </c>
      <c r="K62" s="2" t="s">
        <v>227</v>
      </c>
    </row>
    <row r="63" spans="1:11" ht="14.25" customHeight="1">
      <c r="A63" s="2" t="s">
        <v>111</v>
      </c>
      <c r="B63" s="2" t="s">
        <v>112</v>
      </c>
      <c r="C63" t="s">
        <v>156</v>
      </c>
      <c r="D63" s="25" t="s">
        <v>153</v>
      </c>
      <c r="E63" s="25" t="s">
        <v>153</v>
      </c>
      <c r="F63" s="2" t="s">
        <v>212</v>
      </c>
      <c r="G63" s="2" t="s">
        <v>149</v>
      </c>
      <c r="H63" s="24" t="s">
        <v>150</v>
      </c>
      <c r="I63" s="5" t="s">
        <v>153</v>
      </c>
      <c r="J63" s="4" t="str">
        <f>VLOOKUP(A63,Sheet3!$A$1:$B$75,2,FALSE)</f>
        <v>AA+</v>
      </c>
      <c r="K63" s="2" t="s">
        <v>212</v>
      </c>
    </row>
    <row r="64" spans="1:11" ht="14.25" customHeight="1">
      <c r="A64" s="2" t="s">
        <v>113</v>
      </c>
      <c r="B64" s="2" t="s">
        <v>114</v>
      </c>
      <c r="C64" t="s">
        <v>156</v>
      </c>
      <c r="D64" s="25" t="s">
        <v>153</v>
      </c>
      <c r="E64" s="25" t="s">
        <v>153</v>
      </c>
      <c r="F64" s="2" t="s">
        <v>212</v>
      </c>
      <c r="G64" s="2" t="s">
        <v>149</v>
      </c>
      <c r="H64" s="24" t="s">
        <v>150</v>
      </c>
      <c r="I64" s="5" t="s">
        <v>153</v>
      </c>
      <c r="J64" s="4" t="str">
        <f>VLOOKUP(A64,Sheet3!$A$1:$B$75,2,FALSE)</f>
        <v>AA+</v>
      </c>
      <c r="K64" s="2" t="s">
        <v>212</v>
      </c>
    </row>
    <row r="65" spans="1:11" ht="14.25" customHeight="1">
      <c r="A65" s="2" t="s">
        <v>115</v>
      </c>
      <c r="B65" s="2" t="s">
        <v>116</v>
      </c>
      <c r="C65" t="s">
        <v>156</v>
      </c>
      <c r="D65" s="25" t="s">
        <v>153</v>
      </c>
      <c r="E65" s="25" t="s">
        <v>153</v>
      </c>
      <c r="F65" s="2" t="s">
        <v>256</v>
      </c>
      <c r="G65" s="2" t="s">
        <v>149</v>
      </c>
      <c r="H65" s="24" t="s">
        <v>150</v>
      </c>
      <c r="I65" s="5" t="s">
        <v>153</v>
      </c>
      <c r="J65" s="4" t="str">
        <f>VLOOKUP(A65,Sheet3!$A$1:$B$75,2,FALSE)</f>
        <v>AA</v>
      </c>
      <c r="K65" s="2" t="s">
        <v>256</v>
      </c>
    </row>
    <row r="66" spans="1:11" ht="14.25" customHeight="1">
      <c r="A66" s="2" t="s">
        <v>117</v>
      </c>
      <c r="B66" s="2" t="s">
        <v>118</v>
      </c>
      <c r="C66" t="s">
        <v>156</v>
      </c>
      <c r="D66" s="25" t="s">
        <v>153</v>
      </c>
      <c r="E66" s="25" t="s">
        <v>153</v>
      </c>
      <c r="F66" s="2" t="s">
        <v>256</v>
      </c>
      <c r="G66" s="2" t="s">
        <v>149</v>
      </c>
      <c r="H66" s="24" t="s">
        <v>150</v>
      </c>
      <c r="I66" s="5" t="s">
        <v>153</v>
      </c>
      <c r="J66" s="4" t="str">
        <f>VLOOKUP(A66,Sheet3!$A$1:$B$75,2,FALSE)</f>
        <v>AA</v>
      </c>
      <c r="K66" s="2" t="s">
        <v>256</v>
      </c>
    </row>
    <row r="67" spans="1:11" ht="14.25" customHeight="1">
      <c r="A67" s="2" t="s">
        <v>119</v>
      </c>
      <c r="B67" s="2" t="s">
        <v>92</v>
      </c>
      <c r="C67" t="s">
        <v>215</v>
      </c>
      <c r="D67" s="25" t="s">
        <v>153</v>
      </c>
      <c r="E67" s="25" t="s">
        <v>153</v>
      </c>
      <c r="F67" s="2" t="s">
        <v>251</v>
      </c>
      <c r="G67" s="2" t="s">
        <v>148</v>
      </c>
      <c r="H67" s="24" t="s">
        <v>150</v>
      </c>
      <c r="I67" s="5" t="s">
        <v>153</v>
      </c>
      <c r="J67" s="4" t="str">
        <f>VLOOKUP(A67,Sheet3!$A$1:$B$75,2,FALSE)</f>
        <v>Aa2</v>
      </c>
      <c r="K67" s="2" t="s">
        <v>251</v>
      </c>
    </row>
    <row r="68" spans="1:11" ht="14.25" customHeight="1">
      <c r="A68" s="2" t="s">
        <v>120</v>
      </c>
      <c r="B68" s="2" t="s">
        <v>121</v>
      </c>
      <c r="C68" t="s">
        <v>156</v>
      </c>
      <c r="D68" s="25" t="s">
        <v>153</v>
      </c>
      <c r="E68" s="25" t="s">
        <v>153</v>
      </c>
      <c r="F68" s="2" t="s">
        <v>227</v>
      </c>
      <c r="G68" s="2" t="s">
        <v>149</v>
      </c>
      <c r="H68" s="24" t="s">
        <v>150</v>
      </c>
      <c r="I68" s="5" t="s">
        <v>153</v>
      </c>
      <c r="J68" s="4" t="str">
        <f>VLOOKUP(A68,Sheet3!$A$1:$B$75,2,FALSE)</f>
        <v>A</v>
      </c>
      <c r="K68" s="2" t="s">
        <v>227</v>
      </c>
    </row>
    <row r="69" spans="1:11" ht="14.25" customHeight="1">
      <c r="A69" s="2" t="s">
        <v>122</v>
      </c>
      <c r="B69" s="2" t="s">
        <v>123</v>
      </c>
      <c r="C69" t="s">
        <v>156</v>
      </c>
      <c r="D69" s="25" t="s">
        <v>153</v>
      </c>
      <c r="E69" s="25" t="s">
        <v>153</v>
      </c>
      <c r="F69" s="2" t="s">
        <v>227</v>
      </c>
      <c r="G69" s="2" t="s">
        <v>149</v>
      </c>
      <c r="H69" s="24" t="s">
        <v>150</v>
      </c>
      <c r="I69" s="5" t="s">
        <v>153</v>
      </c>
      <c r="J69" s="4" t="str">
        <f>VLOOKUP(A69,Sheet3!$A$1:$B$75,2,FALSE)</f>
        <v>A</v>
      </c>
      <c r="K69" s="2" t="s">
        <v>227</v>
      </c>
    </row>
    <row r="70" spans="1:11" ht="14.25" customHeight="1">
      <c r="A70" s="2" t="s">
        <v>124</v>
      </c>
      <c r="B70" s="2" t="s">
        <v>125</v>
      </c>
      <c r="C70" t="s">
        <v>156</v>
      </c>
      <c r="D70" s="25" t="s">
        <v>153</v>
      </c>
      <c r="E70" s="25" t="s">
        <v>153</v>
      </c>
      <c r="F70" s="2" t="s">
        <v>227</v>
      </c>
      <c r="G70" s="2" t="s">
        <v>149</v>
      </c>
      <c r="H70" s="24" t="s">
        <v>150</v>
      </c>
      <c r="I70" s="5" t="s">
        <v>153</v>
      </c>
      <c r="J70" s="4" t="s">
        <v>313</v>
      </c>
      <c r="K70" s="2" t="s">
        <v>227</v>
      </c>
    </row>
    <row r="71" spans="1:11" ht="14.25" customHeight="1">
      <c r="A71" s="2" t="s">
        <v>126</v>
      </c>
      <c r="B71" s="2" t="s">
        <v>127</v>
      </c>
      <c r="C71" t="s">
        <v>156</v>
      </c>
      <c r="D71" s="25" t="s">
        <v>153</v>
      </c>
      <c r="E71" s="25" t="s">
        <v>153</v>
      </c>
      <c r="F71" s="2" t="s">
        <v>227</v>
      </c>
      <c r="G71" s="2" t="s">
        <v>149</v>
      </c>
      <c r="H71" s="24" t="s">
        <v>150</v>
      </c>
      <c r="I71" s="5" t="s">
        <v>153</v>
      </c>
      <c r="J71" s="4" t="str">
        <f>VLOOKUP(A71,Sheet3!$A$1:$B$75,2,FALSE)</f>
        <v>A</v>
      </c>
      <c r="K71" s="2" t="s">
        <v>227</v>
      </c>
    </row>
    <row r="72" spans="1:11" ht="14.25" customHeight="1">
      <c r="A72" s="2" t="s">
        <v>128</v>
      </c>
      <c r="B72" s="2" t="s">
        <v>129</v>
      </c>
      <c r="C72" t="s">
        <v>156</v>
      </c>
      <c r="D72" s="25" t="s">
        <v>153</v>
      </c>
      <c r="E72" s="25" t="s">
        <v>153</v>
      </c>
      <c r="F72" s="2" t="s">
        <v>212</v>
      </c>
      <c r="G72" s="2" t="s">
        <v>149</v>
      </c>
      <c r="H72" s="24" t="s">
        <v>150</v>
      </c>
      <c r="I72" s="5" t="s">
        <v>153</v>
      </c>
      <c r="J72" s="4" t="str">
        <f>VLOOKUP(A72,Sheet3!$A$1:$B$75,2,FALSE)</f>
        <v>A</v>
      </c>
      <c r="K72" s="2" t="s">
        <v>212</v>
      </c>
    </row>
    <row r="73" spans="1:11" ht="14.25" customHeight="1">
      <c r="A73" s="2" t="s">
        <v>130</v>
      </c>
      <c r="B73" s="2" t="s">
        <v>131</v>
      </c>
      <c r="C73" t="s">
        <v>156</v>
      </c>
      <c r="D73" s="25" t="s">
        <v>153</v>
      </c>
      <c r="E73" s="25" t="s">
        <v>153</v>
      </c>
      <c r="F73" s="2" t="s">
        <v>212</v>
      </c>
      <c r="G73" s="2" t="s">
        <v>149</v>
      </c>
      <c r="H73" s="24" t="s">
        <v>150</v>
      </c>
      <c r="I73" s="5" t="s">
        <v>153</v>
      </c>
      <c r="J73" s="4" t="str">
        <f>VLOOKUP(A73,Sheet3!$A$1:$B$75,2,FALSE)</f>
        <v>AA</v>
      </c>
      <c r="K73" s="2" t="s">
        <v>212</v>
      </c>
    </row>
    <row r="74" spans="1:11" ht="14.25" customHeight="1">
      <c r="A74" s="2" t="s">
        <v>132</v>
      </c>
      <c r="B74" s="2" t="s">
        <v>133</v>
      </c>
      <c r="C74" t="s">
        <v>156</v>
      </c>
      <c r="D74" s="25" t="s">
        <v>153</v>
      </c>
      <c r="E74" s="25" t="s">
        <v>153</v>
      </c>
      <c r="F74" s="2" t="s">
        <v>256</v>
      </c>
      <c r="G74" s="2" t="s">
        <v>149</v>
      </c>
      <c r="H74" s="24" t="s">
        <v>150</v>
      </c>
      <c r="I74" s="5" t="s">
        <v>153</v>
      </c>
      <c r="J74" s="4" t="str">
        <f>VLOOKUP(A74,Sheet3!$A$1:$B$75,2,FALSE)</f>
        <v>A</v>
      </c>
      <c r="K74" s="2" t="s">
        <v>256</v>
      </c>
    </row>
    <row r="75" spans="1:11" ht="14.25" customHeight="1">
      <c r="A75" s="2" t="s">
        <v>134</v>
      </c>
      <c r="B75" s="2" t="s">
        <v>135</v>
      </c>
      <c r="C75" t="s">
        <v>156</v>
      </c>
      <c r="D75" s="25" t="s">
        <v>153</v>
      </c>
      <c r="E75" s="25" t="s">
        <v>153</v>
      </c>
      <c r="F75" s="2" t="s">
        <v>256</v>
      </c>
      <c r="G75" s="2" t="s">
        <v>149</v>
      </c>
      <c r="H75" s="24" t="s">
        <v>150</v>
      </c>
      <c r="I75" s="5" t="s">
        <v>153</v>
      </c>
      <c r="J75" s="4" t="str">
        <f>VLOOKUP(A75,Sheet3!$A$1:$B$75,2,FALSE)</f>
        <v>AA</v>
      </c>
      <c r="K75" s="2" t="s">
        <v>256</v>
      </c>
    </row>
    <row r="76" spans="1:11" ht="14.25" customHeight="1">
      <c r="A76" s="2" t="s">
        <v>280</v>
      </c>
      <c r="B76" s="2" t="s">
        <v>280</v>
      </c>
      <c r="C76" t="s">
        <v>155</v>
      </c>
      <c r="D76" s="25" t="s">
        <v>153</v>
      </c>
      <c r="E76" s="25" t="s">
        <v>153</v>
      </c>
      <c r="F76" s="15" t="s">
        <v>297</v>
      </c>
      <c r="G76" s="15" t="s">
        <v>149</v>
      </c>
      <c r="H76" s="24" t="s">
        <v>150</v>
      </c>
      <c r="I76" s="5" t="s">
        <v>153</v>
      </c>
      <c r="J76" s="4" t="s">
        <v>165</v>
      </c>
      <c r="K76" s="15" t="s">
        <v>297</v>
      </c>
    </row>
    <row r="77" spans="1:11" ht="14.25" customHeight="1">
      <c r="A77" s="2" t="s">
        <v>281</v>
      </c>
      <c r="B77" s="2" t="s">
        <v>281</v>
      </c>
      <c r="C77" t="s">
        <v>215</v>
      </c>
      <c r="D77" s="25" t="s">
        <v>153</v>
      </c>
      <c r="E77" s="25" t="s">
        <v>153</v>
      </c>
      <c r="F77" s="15" t="s">
        <v>298</v>
      </c>
      <c r="G77" s="15" t="s">
        <v>146</v>
      </c>
      <c r="H77" s="24" t="s">
        <v>150</v>
      </c>
      <c r="I77" s="5" t="s">
        <v>153</v>
      </c>
      <c r="J77" s="4" t="s">
        <v>165</v>
      </c>
      <c r="K77" s="15" t="s">
        <v>298</v>
      </c>
    </row>
    <row r="78" spans="1:11" ht="14.25" customHeight="1">
      <c r="A78" s="2" t="s">
        <v>282</v>
      </c>
      <c r="B78" s="2" t="s">
        <v>282</v>
      </c>
      <c r="C78" t="s">
        <v>215</v>
      </c>
      <c r="D78" s="25" t="s">
        <v>153</v>
      </c>
      <c r="E78" s="25" t="s">
        <v>153</v>
      </c>
      <c r="F78" s="15" t="s">
        <v>298</v>
      </c>
      <c r="G78" s="15" t="s">
        <v>146</v>
      </c>
      <c r="H78" s="24" t="s">
        <v>150</v>
      </c>
      <c r="I78" s="5" t="s">
        <v>153</v>
      </c>
      <c r="J78" s="4" t="s">
        <v>165</v>
      </c>
      <c r="K78" s="15" t="s">
        <v>298</v>
      </c>
    </row>
    <row r="79" spans="1:11" ht="14.25" customHeight="1">
      <c r="A79" s="2" t="s">
        <v>283</v>
      </c>
      <c r="B79" s="2" t="s">
        <v>283</v>
      </c>
      <c r="C79" t="s">
        <v>215</v>
      </c>
      <c r="D79" s="25" t="s">
        <v>153</v>
      </c>
      <c r="E79" s="25" t="s">
        <v>153</v>
      </c>
      <c r="F79" s="15" t="s">
        <v>207</v>
      </c>
      <c r="G79" s="15" t="s">
        <v>146</v>
      </c>
      <c r="H79" s="24" t="s">
        <v>150</v>
      </c>
      <c r="I79" s="5" t="s">
        <v>153</v>
      </c>
      <c r="J79" s="4" t="s">
        <v>165</v>
      </c>
      <c r="K79" s="15" t="s">
        <v>207</v>
      </c>
    </row>
    <row r="80" spans="1:11" ht="14.25" customHeight="1">
      <c r="A80" s="2" t="s">
        <v>284</v>
      </c>
      <c r="B80" s="2" t="s">
        <v>284</v>
      </c>
      <c r="C80" t="s">
        <v>215</v>
      </c>
      <c r="D80" s="25" t="s">
        <v>153</v>
      </c>
      <c r="E80" s="25" t="s">
        <v>153</v>
      </c>
      <c r="F80" s="15" t="s">
        <v>207</v>
      </c>
      <c r="G80" s="15" t="s">
        <v>146</v>
      </c>
      <c r="H80" s="24" t="s">
        <v>150</v>
      </c>
      <c r="I80" s="5" t="s">
        <v>153</v>
      </c>
      <c r="J80" s="4" t="s">
        <v>165</v>
      </c>
      <c r="K80" s="15" t="s">
        <v>207</v>
      </c>
    </row>
    <row r="81" spans="1:11" ht="14.25" customHeight="1">
      <c r="A81" s="2" t="s">
        <v>285</v>
      </c>
      <c r="B81" s="2" t="s">
        <v>285</v>
      </c>
      <c r="C81" t="s">
        <v>215</v>
      </c>
      <c r="D81" s="25" t="s">
        <v>153</v>
      </c>
      <c r="E81" s="25" t="s">
        <v>153</v>
      </c>
      <c r="F81" s="15" t="s">
        <v>299</v>
      </c>
      <c r="G81" s="15" t="s">
        <v>146</v>
      </c>
      <c r="H81" s="24" t="s">
        <v>150</v>
      </c>
      <c r="I81" s="5" t="s">
        <v>153</v>
      </c>
      <c r="J81" s="4" t="s">
        <v>165</v>
      </c>
      <c r="K81" s="15" t="s">
        <v>299</v>
      </c>
    </row>
    <row r="82" spans="1:11" ht="14.25" customHeight="1">
      <c r="A82" s="2" t="s">
        <v>286</v>
      </c>
      <c r="B82" s="2" t="s">
        <v>286</v>
      </c>
      <c r="C82" t="s">
        <v>215</v>
      </c>
      <c r="D82" s="25" t="s">
        <v>153</v>
      </c>
      <c r="E82" s="25" t="s">
        <v>153</v>
      </c>
      <c r="F82" s="15" t="s">
        <v>299</v>
      </c>
      <c r="G82" s="15" t="s">
        <v>146</v>
      </c>
      <c r="H82" s="24" t="s">
        <v>150</v>
      </c>
      <c r="I82" s="5" t="s">
        <v>153</v>
      </c>
      <c r="J82" s="4" t="s">
        <v>165</v>
      </c>
      <c r="K82" s="15" t="s">
        <v>299</v>
      </c>
    </row>
    <row r="83" spans="1:11" ht="14.25" customHeight="1">
      <c r="A83" s="2" t="s">
        <v>287</v>
      </c>
      <c r="B83" s="2" t="s">
        <v>287</v>
      </c>
      <c r="C83" t="s">
        <v>215</v>
      </c>
      <c r="D83" s="25" t="s">
        <v>153</v>
      </c>
      <c r="E83" s="25" t="s">
        <v>153</v>
      </c>
      <c r="F83" s="15" t="s">
        <v>176</v>
      </c>
      <c r="G83" s="15" t="s">
        <v>146</v>
      </c>
      <c r="H83" s="24" t="s">
        <v>150</v>
      </c>
      <c r="I83" s="5" t="s">
        <v>153</v>
      </c>
      <c r="J83" s="4" t="s">
        <v>165</v>
      </c>
      <c r="K83" s="15" t="s">
        <v>176</v>
      </c>
    </row>
    <row r="84" spans="1:11" ht="14.25" customHeight="1">
      <c r="A84" s="2" t="s">
        <v>288</v>
      </c>
      <c r="B84" s="2" t="s">
        <v>288</v>
      </c>
      <c r="C84" t="s">
        <v>215</v>
      </c>
      <c r="D84" s="25" t="s">
        <v>153</v>
      </c>
      <c r="E84" s="25" t="s">
        <v>153</v>
      </c>
      <c r="F84" s="15" t="s">
        <v>176</v>
      </c>
      <c r="G84" s="15" t="s">
        <v>146</v>
      </c>
      <c r="H84" s="24" t="s">
        <v>150</v>
      </c>
      <c r="I84" s="5" t="s">
        <v>153</v>
      </c>
      <c r="J84" s="4" t="s">
        <v>165</v>
      </c>
      <c r="K84" s="15" t="s">
        <v>176</v>
      </c>
    </row>
    <row r="85" spans="1:11" ht="14.25" customHeight="1">
      <c r="A85" s="2" t="s">
        <v>289</v>
      </c>
      <c r="B85" s="2" t="s">
        <v>289</v>
      </c>
      <c r="C85" t="s">
        <v>215</v>
      </c>
      <c r="D85" s="25" t="s">
        <v>153</v>
      </c>
      <c r="E85" s="25" t="s">
        <v>153</v>
      </c>
      <c r="F85" s="15" t="s">
        <v>213</v>
      </c>
      <c r="G85" s="15" t="s">
        <v>146</v>
      </c>
      <c r="H85" s="24" t="s">
        <v>150</v>
      </c>
      <c r="I85" s="5" t="s">
        <v>153</v>
      </c>
      <c r="J85" s="4" t="s">
        <v>165</v>
      </c>
      <c r="K85" s="15" t="s">
        <v>213</v>
      </c>
    </row>
    <row r="86" spans="1:11" ht="14.25" customHeight="1">
      <c r="A86" s="2" t="s">
        <v>290</v>
      </c>
      <c r="B86" s="2" t="s">
        <v>290</v>
      </c>
      <c r="C86" t="s">
        <v>215</v>
      </c>
      <c r="D86" s="25" t="s">
        <v>153</v>
      </c>
      <c r="E86" s="25" t="s">
        <v>153</v>
      </c>
      <c r="F86" s="15" t="s">
        <v>213</v>
      </c>
      <c r="G86" s="15" t="s">
        <v>146</v>
      </c>
      <c r="H86" s="24" t="s">
        <v>150</v>
      </c>
      <c r="I86" s="5" t="s">
        <v>153</v>
      </c>
      <c r="J86" s="4" t="s">
        <v>165</v>
      </c>
      <c r="K86" s="15" t="s">
        <v>213</v>
      </c>
    </row>
    <row r="87" spans="1:11" ht="14.25" customHeight="1">
      <c r="A87" s="2" t="s">
        <v>291</v>
      </c>
      <c r="B87" s="2" t="s">
        <v>291</v>
      </c>
      <c r="C87" t="s">
        <v>215</v>
      </c>
      <c r="D87" s="25" t="s">
        <v>153</v>
      </c>
      <c r="E87" s="25" t="s">
        <v>153</v>
      </c>
      <c r="F87" s="15" t="s">
        <v>190</v>
      </c>
      <c r="G87" s="15" t="s">
        <v>146</v>
      </c>
      <c r="H87" s="24" t="s">
        <v>150</v>
      </c>
      <c r="I87" s="5" t="s">
        <v>153</v>
      </c>
      <c r="J87" s="4" t="s">
        <v>165</v>
      </c>
      <c r="K87" s="15" t="s">
        <v>190</v>
      </c>
    </row>
    <row r="88" spans="1:11" ht="14.25" customHeight="1">
      <c r="A88" s="2" t="s">
        <v>292</v>
      </c>
      <c r="B88" s="2" t="s">
        <v>292</v>
      </c>
      <c r="C88" t="s">
        <v>215</v>
      </c>
      <c r="D88" s="25" t="s">
        <v>153</v>
      </c>
      <c r="E88" s="25" t="s">
        <v>153</v>
      </c>
      <c r="F88" s="15" t="s">
        <v>190</v>
      </c>
      <c r="G88" s="15" t="s">
        <v>146</v>
      </c>
      <c r="H88" s="24" t="s">
        <v>150</v>
      </c>
      <c r="I88" s="5" t="s">
        <v>153</v>
      </c>
      <c r="J88" s="4" t="s">
        <v>165</v>
      </c>
      <c r="K88" s="15" t="s">
        <v>190</v>
      </c>
    </row>
    <row r="89" spans="1:11" ht="14.25" customHeight="1">
      <c r="A89" s="2" t="s">
        <v>293</v>
      </c>
      <c r="B89" s="2" t="s">
        <v>293</v>
      </c>
      <c r="C89" t="s">
        <v>215</v>
      </c>
      <c r="D89" s="25" t="s">
        <v>153</v>
      </c>
      <c r="E89" s="25" t="s">
        <v>153</v>
      </c>
      <c r="F89" s="15" t="s">
        <v>300</v>
      </c>
      <c r="G89" s="15" t="s">
        <v>146</v>
      </c>
      <c r="H89" s="24" t="s">
        <v>150</v>
      </c>
      <c r="I89" s="5" t="s">
        <v>153</v>
      </c>
      <c r="J89" s="4" t="s">
        <v>165</v>
      </c>
      <c r="K89" s="15" t="s">
        <v>300</v>
      </c>
    </row>
    <row r="90" spans="1:11" ht="14.25" customHeight="1">
      <c r="A90" s="2" t="s">
        <v>294</v>
      </c>
      <c r="B90" s="2" t="s">
        <v>294</v>
      </c>
      <c r="C90" t="s">
        <v>215</v>
      </c>
      <c r="D90" s="25" t="s">
        <v>153</v>
      </c>
      <c r="E90" s="25" t="s">
        <v>153</v>
      </c>
      <c r="F90" s="15" t="s">
        <v>190</v>
      </c>
      <c r="G90" s="15" t="s">
        <v>146</v>
      </c>
      <c r="H90" s="24" t="s">
        <v>150</v>
      </c>
      <c r="I90" s="5" t="s">
        <v>153</v>
      </c>
      <c r="J90" s="4" t="s">
        <v>165</v>
      </c>
      <c r="K90" s="15" t="s">
        <v>190</v>
      </c>
    </row>
    <row r="91" spans="1:11" ht="14.25" customHeight="1">
      <c r="A91" s="2" t="s">
        <v>295</v>
      </c>
      <c r="B91" s="2" t="s">
        <v>295</v>
      </c>
      <c r="C91" t="s">
        <v>215</v>
      </c>
      <c r="D91" s="25" t="s">
        <v>153</v>
      </c>
      <c r="E91" s="25" t="s">
        <v>153</v>
      </c>
      <c r="F91" s="15" t="s">
        <v>301</v>
      </c>
      <c r="G91" s="15" t="s">
        <v>146</v>
      </c>
      <c r="H91" s="24" t="s">
        <v>150</v>
      </c>
      <c r="I91" s="5" t="s">
        <v>153</v>
      </c>
      <c r="J91" s="4" t="s">
        <v>165</v>
      </c>
      <c r="K91" s="15" t="s">
        <v>301</v>
      </c>
    </row>
    <row r="92" spans="1:11" ht="14.25" customHeight="1">
      <c r="A92" s="15" t="s">
        <v>296</v>
      </c>
      <c r="B92" s="15" t="s">
        <v>296</v>
      </c>
      <c r="C92" t="s">
        <v>215</v>
      </c>
      <c r="D92" s="25" t="s">
        <v>153</v>
      </c>
      <c r="E92" s="25" t="s">
        <v>153</v>
      </c>
      <c r="F92" s="15" t="s">
        <v>297</v>
      </c>
      <c r="G92" s="15" t="s">
        <v>146</v>
      </c>
      <c r="H92" s="24" t="s">
        <v>150</v>
      </c>
      <c r="I92" s="5" t="s">
        <v>153</v>
      </c>
      <c r="J92" s="4" t="s">
        <v>165</v>
      </c>
      <c r="K92" s="15" t="s">
        <v>297</v>
      </c>
    </row>
    <row r="93" spans="1:11" ht="14.25" customHeight="1">
      <c r="A93" s="28" t="s">
        <v>314</v>
      </c>
      <c r="B93" s="28" t="s">
        <v>315</v>
      </c>
      <c r="C93" t="s">
        <v>158</v>
      </c>
      <c r="D93" s="25" t="s">
        <v>152</v>
      </c>
      <c r="E93" s="25" t="s">
        <v>153</v>
      </c>
      <c r="F93" s="28" t="s">
        <v>317</v>
      </c>
      <c r="G93" s="2" t="s">
        <v>149</v>
      </c>
      <c r="H93" s="24" t="s">
        <v>150</v>
      </c>
      <c r="I93" s="5" t="s">
        <v>153</v>
      </c>
      <c r="J93" s="4" t="s">
        <v>313</v>
      </c>
      <c r="K93" s="28" t="s">
        <v>317</v>
      </c>
    </row>
    <row r="94" spans="1:11" ht="14.25" customHeight="1">
      <c r="A94" s="28" t="s">
        <v>318</v>
      </c>
      <c r="B94" s="28" t="s">
        <v>319</v>
      </c>
      <c r="C94" t="s">
        <v>158</v>
      </c>
      <c r="D94" s="25" t="s">
        <v>152</v>
      </c>
      <c r="E94" s="25" t="s">
        <v>153</v>
      </c>
      <c r="F94" s="28" t="s">
        <v>320</v>
      </c>
      <c r="G94" s="2" t="s">
        <v>149</v>
      </c>
      <c r="H94" s="24" t="s">
        <v>150</v>
      </c>
      <c r="I94" s="5" t="s">
        <v>153</v>
      </c>
      <c r="J94" s="4" t="s">
        <v>313</v>
      </c>
      <c r="K94" s="28" t="s">
        <v>320</v>
      </c>
    </row>
    <row r="95" spans="1:11" ht="14.25" customHeight="1">
      <c r="A95" s="28" t="s">
        <v>321</v>
      </c>
      <c r="B95" s="28" t="s">
        <v>322</v>
      </c>
      <c r="C95" t="s">
        <v>158</v>
      </c>
      <c r="D95" s="25" t="s">
        <v>152</v>
      </c>
      <c r="E95" s="25" t="s">
        <v>153</v>
      </c>
      <c r="F95" s="28" t="s">
        <v>320</v>
      </c>
      <c r="G95" s="2" t="s">
        <v>149</v>
      </c>
      <c r="H95" s="24" t="s">
        <v>150</v>
      </c>
      <c r="I95" s="5" t="s">
        <v>153</v>
      </c>
      <c r="J95" s="4" t="s">
        <v>313</v>
      </c>
      <c r="K95" s="28" t="s">
        <v>320</v>
      </c>
    </row>
    <row r="96" spans="1:11" ht="14.25" customHeight="1">
      <c r="A96" s="28" t="s">
        <v>323</v>
      </c>
      <c r="B96" s="28" t="s">
        <v>324</v>
      </c>
      <c r="C96" t="s">
        <v>158</v>
      </c>
      <c r="D96" s="25" t="s">
        <v>152</v>
      </c>
      <c r="E96" s="25" t="s">
        <v>153</v>
      </c>
      <c r="F96" s="28" t="s">
        <v>307</v>
      </c>
      <c r="G96" s="2" t="s">
        <v>149</v>
      </c>
      <c r="H96" s="24" t="s">
        <v>150</v>
      </c>
      <c r="I96" s="5" t="s">
        <v>153</v>
      </c>
      <c r="J96" s="4" t="s">
        <v>313</v>
      </c>
      <c r="K96" s="28" t="s">
        <v>307</v>
      </c>
    </row>
    <row r="97" spans="1:11" ht="14.25" customHeight="1">
      <c r="A97" s="28" t="s">
        <v>325</v>
      </c>
      <c r="B97" s="28" t="s">
        <v>326</v>
      </c>
      <c r="C97" t="s">
        <v>158</v>
      </c>
      <c r="D97" s="25" t="s">
        <v>152</v>
      </c>
      <c r="E97" s="25" t="s">
        <v>153</v>
      </c>
      <c r="F97" s="28" t="s">
        <v>317</v>
      </c>
      <c r="G97" s="2" t="s">
        <v>149</v>
      </c>
      <c r="H97" s="24" t="s">
        <v>150</v>
      </c>
      <c r="I97" s="5" t="s">
        <v>153</v>
      </c>
      <c r="J97" s="4" t="s">
        <v>313</v>
      </c>
      <c r="K97" s="28" t="s">
        <v>317</v>
      </c>
    </row>
    <row r="98" spans="1:11" ht="14.25" customHeight="1">
      <c r="A98" s="28" t="s">
        <v>327</v>
      </c>
      <c r="B98" s="28" t="s">
        <v>328</v>
      </c>
      <c r="C98" t="s">
        <v>158</v>
      </c>
      <c r="D98" s="25" t="s">
        <v>152</v>
      </c>
      <c r="E98" s="25" t="s">
        <v>153</v>
      </c>
      <c r="F98" s="28" t="s">
        <v>329</v>
      </c>
      <c r="G98" s="2" t="s">
        <v>149</v>
      </c>
      <c r="H98" s="24" t="s">
        <v>150</v>
      </c>
      <c r="I98" s="5" t="s">
        <v>153</v>
      </c>
      <c r="J98" s="4" t="s">
        <v>313</v>
      </c>
      <c r="K98" s="28" t="s">
        <v>329</v>
      </c>
    </row>
    <row r="99" spans="1:11" ht="14.25" customHeight="1">
      <c r="A99" s="28" t="s">
        <v>331</v>
      </c>
      <c r="B99" s="28" t="s">
        <v>332</v>
      </c>
      <c r="C99" t="s">
        <v>158</v>
      </c>
      <c r="D99" s="25" t="s">
        <v>152</v>
      </c>
      <c r="E99" s="25" t="s">
        <v>153</v>
      </c>
      <c r="F99" s="28" t="s">
        <v>333</v>
      </c>
      <c r="G99" s="2" t="s">
        <v>149</v>
      </c>
      <c r="H99" s="24" t="s">
        <v>150</v>
      </c>
      <c r="I99" s="5" t="s">
        <v>153</v>
      </c>
      <c r="J99" s="4" t="s">
        <v>313</v>
      </c>
      <c r="K99" s="28" t="s">
        <v>333</v>
      </c>
    </row>
    <row r="100" spans="1:11" ht="14.25" customHeight="1">
      <c r="A100" s="28" t="s">
        <v>334</v>
      </c>
      <c r="B100" s="28" t="s">
        <v>335</v>
      </c>
      <c r="C100" t="s">
        <v>158</v>
      </c>
      <c r="D100" s="25" t="s">
        <v>152</v>
      </c>
      <c r="E100" s="25" t="s">
        <v>153</v>
      </c>
      <c r="F100" s="28" t="s">
        <v>320</v>
      </c>
      <c r="G100" s="2" t="s">
        <v>149</v>
      </c>
      <c r="H100" s="24" t="s">
        <v>150</v>
      </c>
      <c r="I100" s="5" t="s">
        <v>153</v>
      </c>
      <c r="J100" s="4" t="s">
        <v>313</v>
      </c>
      <c r="K100" s="28" t="s">
        <v>320</v>
      </c>
    </row>
    <row r="101" spans="1:11" ht="14.25" customHeight="1">
      <c r="A101" s="28" t="s">
        <v>336</v>
      </c>
      <c r="B101" s="28" t="s">
        <v>337</v>
      </c>
      <c r="C101" t="s">
        <v>158</v>
      </c>
      <c r="D101" s="25" t="s">
        <v>152</v>
      </c>
      <c r="E101" s="25" t="s">
        <v>153</v>
      </c>
      <c r="F101" s="28" t="s">
        <v>329</v>
      </c>
      <c r="G101" s="2" t="s">
        <v>149</v>
      </c>
      <c r="H101" s="24" t="s">
        <v>150</v>
      </c>
      <c r="I101" s="5" t="s">
        <v>153</v>
      </c>
      <c r="J101" s="4" t="s">
        <v>313</v>
      </c>
      <c r="K101" s="28" t="s">
        <v>329</v>
      </c>
    </row>
    <row r="102" spans="1:11" ht="14.25" customHeight="1">
      <c r="A102" s="28" t="s">
        <v>339</v>
      </c>
      <c r="B102" s="28" t="s">
        <v>340</v>
      </c>
      <c r="C102" t="s">
        <v>158</v>
      </c>
      <c r="D102" s="25" t="s">
        <v>152</v>
      </c>
      <c r="E102" s="25" t="s">
        <v>153</v>
      </c>
      <c r="F102" s="28" t="s">
        <v>329</v>
      </c>
      <c r="G102" s="2" t="s">
        <v>149</v>
      </c>
      <c r="H102" s="24" t="s">
        <v>150</v>
      </c>
      <c r="I102" s="5" t="s">
        <v>153</v>
      </c>
      <c r="J102" s="4" t="s">
        <v>313</v>
      </c>
      <c r="K102" s="28" t="s">
        <v>329</v>
      </c>
    </row>
    <row r="103" spans="1:11" ht="14.25" customHeight="1">
      <c r="A103" s="28" t="s">
        <v>341</v>
      </c>
      <c r="B103" s="28" t="s">
        <v>342</v>
      </c>
      <c r="C103" t="s">
        <v>158</v>
      </c>
      <c r="D103" s="25" t="s">
        <v>152</v>
      </c>
      <c r="E103" s="25" t="s">
        <v>153</v>
      </c>
      <c r="F103" s="28" t="s">
        <v>343</v>
      </c>
      <c r="G103" s="2" t="s">
        <v>149</v>
      </c>
      <c r="H103" s="24" t="s">
        <v>150</v>
      </c>
      <c r="I103" s="5" t="s">
        <v>153</v>
      </c>
      <c r="J103" s="4" t="s">
        <v>313</v>
      </c>
      <c r="K103" s="28" t="s">
        <v>343</v>
      </c>
    </row>
    <row r="104" spans="1:11" ht="14.25" customHeight="1">
      <c r="A104" s="28" t="s">
        <v>344</v>
      </c>
      <c r="B104" s="28" t="s">
        <v>345</v>
      </c>
      <c r="C104" t="s">
        <v>158</v>
      </c>
      <c r="D104" s="25" t="s">
        <v>152</v>
      </c>
      <c r="E104" s="25" t="s">
        <v>153</v>
      </c>
      <c r="F104" s="28" t="s">
        <v>329</v>
      </c>
      <c r="G104" s="2" t="s">
        <v>149</v>
      </c>
      <c r="H104" s="24" t="s">
        <v>150</v>
      </c>
      <c r="I104" s="5" t="s">
        <v>153</v>
      </c>
      <c r="J104" s="4" t="s">
        <v>313</v>
      </c>
      <c r="K104" s="28" t="s">
        <v>329</v>
      </c>
    </row>
    <row r="105" spans="1:11" ht="14.25" customHeight="1">
      <c r="A105" s="28" t="s">
        <v>346</v>
      </c>
      <c r="B105" s="28" t="s">
        <v>347</v>
      </c>
      <c r="C105" t="s">
        <v>158</v>
      </c>
      <c r="D105" s="25" t="s">
        <v>152</v>
      </c>
      <c r="E105" s="25" t="s">
        <v>153</v>
      </c>
      <c r="F105" s="28" t="s">
        <v>329</v>
      </c>
      <c r="G105" s="2" t="s">
        <v>149</v>
      </c>
      <c r="H105" s="24" t="s">
        <v>150</v>
      </c>
      <c r="I105" s="5" t="s">
        <v>153</v>
      </c>
      <c r="J105" s="4" t="s">
        <v>313</v>
      </c>
      <c r="K105" s="28" t="s">
        <v>329</v>
      </c>
    </row>
    <row r="106" spans="1:11" ht="14.25" customHeight="1">
      <c r="A106" s="28" t="s">
        <v>348</v>
      </c>
      <c r="B106" s="28" t="s">
        <v>349</v>
      </c>
      <c r="C106" t="s">
        <v>158</v>
      </c>
      <c r="D106" s="25" t="s">
        <v>152</v>
      </c>
      <c r="E106" s="25" t="s">
        <v>153</v>
      </c>
      <c r="F106" s="28" t="s">
        <v>317</v>
      </c>
      <c r="G106" s="2" t="s">
        <v>149</v>
      </c>
      <c r="H106" s="24" t="s">
        <v>150</v>
      </c>
      <c r="I106" s="5" t="s">
        <v>153</v>
      </c>
      <c r="J106" s="4" t="s">
        <v>313</v>
      </c>
      <c r="K106" s="28" t="s">
        <v>317</v>
      </c>
    </row>
    <row r="107" spans="1:11" ht="14.25" customHeight="1">
      <c r="A107" s="28" t="s">
        <v>350</v>
      </c>
      <c r="B107" s="28" t="s">
        <v>351</v>
      </c>
      <c r="C107" t="s">
        <v>158</v>
      </c>
      <c r="D107" s="25" t="s">
        <v>152</v>
      </c>
      <c r="E107" s="25" t="s">
        <v>153</v>
      </c>
      <c r="F107" s="28" t="s">
        <v>333</v>
      </c>
      <c r="G107" s="2" t="s">
        <v>149</v>
      </c>
      <c r="H107" s="24" t="s">
        <v>150</v>
      </c>
      <c r="I107" s="5" t="s">
        <v>153</v>
      </c>
      <c r="J107" s="4" t="s">
        <v>313</v>
      </c>
      <c r="K107" s="28" t="s">
        <v>333</v>
      </c>
    </row>
    <row r="108" spans="1:11" ht="14.25" customHeight="1">
      <c r="A108" s="28" t="s">
        <v>352</v>
      </c>
      <c r="B108" s="28" t="s">
        <v>353</v>
      </c>
      <c r="C108" t="s">
        <v>158</v>
      </c>
      <c r="D108" s="25" t="s">
        <v>152</v>
      </c>
      <c r="E108" s="25" t="s">
        <v>153</v>
      </c>
      <c r="F108" s="28" t="s">
        <v>333</v>
      </c>
      <c r="G108" s="2" t="s">
        <v>149</v>
      </c>
      <c r="H108" s="24" t="s">
        <v>150</v>
      </c>
      <c r="I108" s="5" t="s">
        <v>153</v>
      </c>
      <c r="J108" s="4" t="s">
        <v>313</v>
      </c>
      <c r="K108" s="28" t="s">
        <v>333</v>
      </c>
    </row>
    <row r="109" spans="1:11" ht="14.25" customHeight="1">
      <c r="A109" s="28" t="s">
        <v>355</v>
      </c>
      <c r="B109" s="28" t="s">
        <v>356</v>
      </c>
      <c r="C109" t="s">
        <v>158</v>
      </c>
      <c r="D109" s="25" t="s">
        <v>152</v>
      </c>
      <c r="E109" s="25" t="s">
        <v>153</v>
      </c>
      <c r="F109" s="28" t="s">
        <v>357</v>
      </c>
      <c r="G109" s="2" t="s">
        <v>149</v>
      </c>
      <c r="H109" s="24" t="s">
        <v>150</v>
      </c>
      <c r="I109" s="5" t="s">
        <v>153</v>
      </c>
      <c r="J109" s="4" t="s">
        <v>313</v>
      </c>
      <c r="K109" s="28" t="s">
        <v>357</v>
      </c>
    </row>
    <row r="110" spans="1:11" ht="14.25" customHeight="1">
      <c r="A110" s="28" t="s">
        <v>358</v>
      </c>
      <c r="B110" s="28" t="s">
        <v>359</v>
      </c>
      <c r="C110" t="s">
        <v>158</v>
      </c>
      <c r="D110" s="25" t="s">
        <v>152</v>
      </c>
      <c r="E110" s="25" t="s">
        <v>153</v>
      </c>
      <c r="F110" s="28" t="s">
        <v>317</v>
      </c>
      <c r="G110" s="2" t="s">
        <v>149</v>
      </c>
      <c r="H110" s="24" t="s">
        <v>150</v>
      </c>
      <c r="I110" s="5" t="s">
        <v>153</v>
      </c>
      <c r="J110" s="4" t="s">
        <v>313</v>
      </c>
      <c r="K110" s="28" t="s">
        <v>317</v>
      </c>
    </row>
    <row r="111" spans="1:11" ht="14.25" customHeight="1">
      <c r="A111" s="28" t="s">
        <v>360</v>
      </c>
      <c r="B111" s="28" t="s">
        <v>361</v>
      </c>
      <c r="C111" t="s">
        <v>158</v>
      </c>
      <c r="D111" s="25" t="s">
        <v>152</v>
      </c>
      <c r="E111" s="25" t="s">
        <v>153</v>
      </c>
      <c r="F111" s="28" t="s">
        <v>307</v>
      </c>
      <c r="G111" s="2" t="s">
        <v>149</v>
      </c>
      <c r="H111" s="24" t="s">
        <v>150</v>
      </c>
      <c r="I111" s="5" t="s">
        <v>153</v>
      </c>
      <c r="J111" s="4" t="s">
        <v>313</v>
      </c>
      <c r="K111" s="28" t="s">
        <v>307</v>
      </c>
    </row>
    <row r="112" spans="1:11" ht="14.25" customHeight="1">
      <c r="A112" s="28" t="s">
        <v>362</v>
      </c>
      <c r="B112" s="28" t="s">
        <v>363</v>
      </c>
      <c r="C112" t="s">
        <v>158</v>
      </c>
      <c r="D112" s="25" t="s">
        <v>152</v>
      </c>
      <c r="E112" s="25" t="s">
        <v>153</v>
      </c>
      <c r="F112" s="28" t="s">
        <v>329</v>
      </c>
      <c r="G112" s="2" t="s">
        <v>149</v>
      </c>
      <c r="H112" s="24" t="s">
        <v>150</v>
      </c>
      <c r="I112" s="5" t="s">
        <v>153</v>
      </c>
      <c r="J112" s="4" t="s">
        <v>313</v>
      </c>
      <c r="K112" s="28" t="s">
        <v>329</v>
      </c>
    </row>
    <row r="113" spans="1:11" ht="14.25" customHeight="1">
      <c r="A113" s="28" t="s">
        <v>364</v>
      </c>
      <c r="B113" s="28" t="s">
        <v>365</v>
      </c>
      <c r="C113" t="s">
        <v>158</v>
      </c>
      <c r="D113" s="25" t="s">
        <v>152</v>
      </c>
      <c r="E113" s="25" t="s">
        <v>153</v>
      </c>
      <c r="F113" s="28" t="s">
        <v>329</v>
      </c>
      <c r="G113" s="2" t="s">
        <v>149</v>
      </c>
      <c r="H113" s="24" t="s">
        <v>150</v>
      </c>
      <c r="I113" s="5" t="s">
        <v>153</v>
      </c>
      <c r="J113" s="4" t="s">
        <v>313</v>
      </c>
      <c r="K113" s="28" t="s">
        <v>329</v>
      </c>
    </row>
    <row r="114" spans="1:11" ht="14.25" customHeight="1">
      <c r="A114" s="28" t="s">
        <v>366</v>
      </c>
      <c r="B114" s="28" t="s">
        <v>367</v>
      </c>
      <c r="C114" t="s">
        <v>158</v>
      </c>
      <c r="D114" s="25" t="s">
        <v>152</v>
      </c>
      <c r="E114" s="25" t="s">
        <v>153</v>
      </c>
      <c r="F114" s="28" t="s">
        <v>317</v>
      </c>
      <c r="G114" s="2" t="s">
        <v>149</v>
      </c>
      <c r="H114" s="24" t="s">
        <v>150</v>
      </c>
      <c r="I114" s="5" t="s">
        <v>153</v>
      </c>
      <c r="J114" s="4" t="s">
        <v>313</v>
      </c>
      <c r="K114" s="28" t="s">
        <v>317</v>
      </c>
    </row>
    <row r="115" spans="1:11" ht="14.25" customHeight="1">
      <c r="A115" s="28" t="s">
        <v>368</v>
      </c>
      <c r="B115" s="28" t="s">
        <v>369</v>
      </c>
      <c r="C115" t="s">
        <v>158</v>
      </c>
      <c r="D115" s="25" t="s">
        <v>152</v>
      </c>
      <c r="E115" s="25" t="s">
        <v>153</v>
      </c>
      <c r="F115" s="28" t="s">
        <v>370</v>
      </c>
      <c r="G115" s="2" t="s">
        <v>149</v>
      </c>
      <c r="H115" s="24" t="s">
        <v>150</v>
      </c>
      <c r="I115" s="5" t="s">
        <v>153</v>
      </c>
      <c r="J115" s="4" t="s">
        <v>313</v>
      </c>
      <c r="K115" s="28" t="s">
        <v>370</v>
      </c>
    </row>
    <row r="116" spans="1:11" ht="14.25" customHeight="1">
      <c r="A116" s="28" t="s">
        <v>371</v>
      </c>
      <c r="B116" s="28" t="s">
        <v>372</v>
      </c>
      <c r="C116" t="s">
        <v>158</v>
      </c>
      <c r="D116" s="25" t="s">
        <v>152</v>
      </c>
      <c r="E116" s="25" t="s">
        <v>153</v>
      </c>
      <c r="F116" s="28" t="s">
        <v>373</v>
      </c>
      <c r="G116" s="2" t="s">
        <v>149</v>
      </c>
      <c r="H116" s="24" t="s">
        <v>150</v>
      </c>
      <c r="I116" s="5" t="s">
        <v>153</v>
      </c>
      <c r="J116" s="4" t="s">
        <v>313</v>
      </c>
      <c r="K116" s="28" t="s">
        <v>373</v>
      </c>
    </row>
    <row r="117" spans="1:11" ht="14.25" customHeight="1">
      <c r="A117" s="28" t="s">
        <v>374</v>
      </c>
      <c r="B117" s="28" t="s">
        <v>375</v>
      </c>
      <c r="C117" t="s">
        <v>158</v>
      </c>
      <c r="D117" s="25" t="s">
        <v>152</v>
      </c>
      <c r="E117" s="25" t="s">
        <v>153</v>
      </c>
      <c r="F117" s="28" t="s">
        <v>373</v>
      </c>
      <c r="G117" s="2" t="s">
        <v>149</v>
      </c>
      <c r="H117" s="24" t="s">
        <v>150</v>
      </c>
      <c r="I117" s="5" t="s">
        <v>153</v>
      </c>
      <c r="J117" s="4" t="s">
        <v>313</v>
      </c>
      <c r="K117" s="28" t="s">
        <v>373</v>
      </c>
    </row>
    <row r="118" spans="1:11" ht="14.25" customHeight="1">
      <c r="A118" s="28" t="s">
        <v>376</v>
      </c>
      <c r="B118" s="28" t="s">
        <v>377</v>
      </c>
      <c r="C118" t="s">
        <v>158</v>
      </c>
      <c r="D118" s="25" t="s">
        <v>152</v>
      </c>
      <c r="E118" s="25" t="s">
        <v>153</v>
      </c>
      <c r="F118" s="28" t="s">
        <v>329</v>
      </c>
      <c r="G118" s="2" t="s">
        <v>149</v>
      </c>
      <c r="H118" s="24" t="s">
        <v>150</v>
      </c>
      <c r="I118" s="5" t="s">
        <v>153</v>
      </c>
      <c r="J118" s="4" t="s">
        <v>313</v>
      </c>
      <c r="K118" s="28" t="s">
        <v>329</v>
      </c>
    </row>
    <row r="119" spans="1:11" ht="14.25" customHeight="1">
      <c r="A119" s="28" t="s">
        <v>378</v>
      </c>
      <c r="B119" s="28" t="s">
        <v>379</v>
      </c>
      <c r="C119" t="s">
        <v>158</v>
      </c>
      <c r="D119" s="25" t="s">
        <v>152</v>
      </c>
      <c r="E119" s="25" t="s">
        <v>153</v>
      </c>
      <c r="F119" s="28" t="s">
        <v>343</v>
      </c>
      <c r="G119" s="2" t="s">
        <v>149</v>
      </c>
      <c r="H119" s="24" t="s">
        <v>150</v>
      </c>
      <c r="I119" s="5" t="s">
        <v>153</v>
      </c>
      <c r="J119" s="4" t="s">
        <v>313</v>
      </c>
      <c r="K119" s="28" t="s">
        <v>343</v>
      </c>
    </row>
    <row r="120" spans="1:11" ht="14.25" customHeight="1">
      <c r="A120" s="28" t="s">
        <v>380</v>
      </c>
      <c r="B120" s="28" t="s">
        <v>381</v>
      </c>
      <c r="C120" t="s">
        <v>158</v>
      </c>
      <c r="D120" s="25" t="s">
        <v>152</v>
      </c>
      <c r="E120" s="25" t="s">
        <v>153</v>
      </c>
      <c r="F120" s="28" t="s">
        <v>343</v>
      </c>
      <c r="G120" s="2" t="s">
        <v>149</v>
      </c>
      <c r="H120" s="24" t="s">
        <v>150</v>
      </c>
      <c r="I120" s="5" t="s">
        <v>153</v>
      </c>
      <c r="J120" s="4" t="s">
        <v>313</v>
      </c>
      <c r="K120" s="28" t="s">
        <v>343</v>
      </c>
    </row>
    <row r="121" spans="1:11" ht="14.25" customHeight="1">
      <c r="A121" s="28" t="s">
        <v>382</v>
      </c>
      <c r="B121" s="28" t="s">
        <v>383</v>
      </c>
      <c r="C121" t="s">
        <v>158</v>
      </c>
      <c r="D121" s="25" t="s">
        <v>152</v>
      </c>
      <c r="E121" s="25" t="s">
        <v>153</v>
      </c>
      <c r="F121" s="28" t="s">
        <v>384</v>
      </c>
      <c r="G121" s="2" t="s">
        <v>149</v>
      </c>
      <c r="H121" s="24" t="s">
        <v>150</v>
      </c>
      <c r="I121" s="5" t="s">
        <v>153</v>
      </c>
      <c r="J121" s="4" t="s">
        <v>313</v>
      </c>
      <c r="K121" s="28" t="s">
        <v>384</v>
      </c>
    </row>
    <row r="122" spans="1:11" ht="14.25" customHeight="1">
      <c r="A122" s="28" t="s">
        <v>386</v>
      </c>
      <c r="B122" s="28" t="s">
        <v>387</v>
      </c>
      <c r="C122" t="s">
        <v>158</v>
      </c>
      <c r="D122" s="25" t="s">
        <v>152</v>
      </c>
      <c r="E122" s="25" t="s">
        <v>153</v>
      </c>
      <c r="F122" s="28" t="s">
        <v>317</v>
      </c>
      <c r="G122" s="2" t="s">
        <v>149</v>
      </c>
      <c r="H122" s="24" t="s">
        <v>150</v>
      </c>
      <c r="I122" s="5" t="s">
        <v>153</v>
      </c>
      <c r="J122" s="4" t="s">
        <v>313</v>
      </c>
      <c r="K122" s="28" t="s">
        <v>317</v>
      </c>
    </row>
    <row r="123" spans="1:11" ht="14.25" customHeight="1">
      <c r="A123" s="28" t="s">
        <v>388</v>
      </c>
      <c r="B123" s="28" t="s">
        <v>389</v>
      </c>
      <c r="C123" t="s">
        <v>158</v>
      </c>
      <c r="D123" s="25" t="s">
        <v>152</v>
      </c>
      <c r="E123" s="25" t="s">
        <v>153</v>
      </c>
      <c r="F123" s="28" t="s">
        <v>307</v>
      </c>
      <c r="G123" s="2" t="s">
        <v>149</v>
      </c>
      <c r="H123" s="24" t="s">
        <v>150</v>
      </c>
      <c r="I123" s="5" t="s">
        <v>153</v>
      </c>
      <c r="J123" s="4" t="s">
        <v>313</v>
      </c>
      <c r="K123" s="28" t="s">
        <v>307</v>
      </c>
    </row>
    <row r="124" spans="1:11" ht="14.25" customHeight="1">
      <c r="A124" s="28" t="s">
        <v>391</v>
      </c>
      <c r="B124" s="28" t="s">
        <v>392</v>
      </c>
      <c r="C124" t="s">
        <v>158</v>
      </c>
      <c r="D124" s="25" t="s">
        <v>152</v>
      </c>
      <c r="E124" s="25" t="s">
        <v>153</v>
      </c>
      <c r="F124" s="28" t="s">
        <v>317</v>
      </c>
      <c r="G124" s="2" t="s">
        <v>149</v>
      </c>
      <c r="H124" s="24" t="s">
        <v>150</v>
      </c>
      <c r="I124" s="5" t="s">
        <v>153</v>
      </c>
      <c r="J124" s="4" t="s">
        <v>313</v>
      </c>
      <c r="K124" s="28" t="s">
        <v>317</v>
      </c>
    </row>
    <row r="125" spans="1:11" ht="14.25" customHeight="1">
      <c r="A125" s="28" t="s">
        <v>393</v>
      </c>
      <c r="B125" s="28" t="s">
        <v>394</v>
      </c>
      <c r="C125" t="s">
        <v>158</v>
      </c>
      <c r="D125" s="25" t="s">
        <v>152</v>
      </c>
      <c r="E125" s="25" t="s">
        <v>153</v>
      </c>
      <c r="F125" s="28" t="s">
        <v>395</v>
      </c>
      <c r="G125" s="2" t="s">
        <v>149</v>
      </c>
      <c r="H125" s="24" t="s">
        <v>150</v>
      </c>
      <c r="I125" s="5" t="s">
        <v>153</v>
      </c>
      <c r="J125" s="4" t="s">
        <v>313</v>
      </c>
      <c r="K125" s="28" t="s">
        <v>395</v>
      </c>
    </row>
    <row r="126" spans="1:11" ht="14.25" customHeight="1">
      <c r="A126" s="28" t="s">
        <v>397</v>
      </c>
      <c r="B126" s="28" t="s">
        <v>398</v>
      </c>
      <c r="C126" t="s">
        <v>158</v>
      </c>
      <c r="D126" s="25" t="s">
        <v>152</v>
      </c>
      <c r="E126" s="25" t="s">
        <v>153</v>
      </c>
      <c r="F126" s="28" t="s">
        <v>320</v>
      </c>
      <c r="G126" s="2" t="s">
        <v>149</v>
      </c>
      <c r="H126" s="24" t="s">
        <v>150</v>
      </c>
      <c r="I126" s="5" t="s">
        <v>153</v>
      </c>
      <c r="J126" s="4" t="s">
        <v>313</v>
      </c>
      <c r="K126" s="28" t="s">
        <v>320</v>
      </c>
    </row>
    <row r="127" spans="1:11" ht="14.25" customHeight="1">
      <c r="A127" s="28" t="s">
        <v>400</v>
      </c>
      <c r="B127" s="28" t="s">
        <v>401</v>
      </c>
      <c r="C127" t="s">
        <v>158</v>
      </c>
      <c r="D127" s="25" t="s">
        <v>152</v>
      </c>
      <c r="E127" s="25" t="s">
        <v>153</v>
      </c>
      <c r="F127" s="28" t="s">
        <v>402</v>
      </c>
      <c r="G127" s="2" t="s">
        <v>149</v>
      </c>
      <c r="H127" s="24" t="s">
        <v>150</v>
      </c>
      <c r="I127" s="5" t="s">
        <v>153</v>
      </c>
      <c r="J127" s="4" t="s">
        <v>313</v>
      </c>
      <c r="K127" s="28" t="s">
        <v>402</v>
      </c>
    </row>
    <row r="128" spans="1:11" ht="14.25" customHeight="1">
      <c r="A128" s="28" t="s">
        <v>404</v>
      </c>
      <c r="B128" s="28" t="s">
        <v>405</v>
      </c>
      <c r="C128" t="s">
        <v>158</v>
      </c>
      <c r="D128" s="25" t="s">
        <v>152</v>
      </c>
      <c r="E128" s="25" t="s">
        <v>153</v>
      </c>
      <c r="F128" s="28" t="s">
        <v>406</v>
      </c>
      <c r="G128" s="2" t="s">
        <v>149</v>
      </c>
      <c r="H128" s="24" t="s">
        <v>150</v>
      </c>
      <c r="I128" s="5" t="s">
        <v>153</v>
      </c>
      <c r="J128" s="4" t="s">
        <v>313</v>
      </c>
      <c r="K128" s="28" t="s">
        <v>406</v>
      </c>
    </row>
    <row r="129" spans="1:11" ht="14.25" customHeight="1">
      <c r="A129" s="28" t="s">
        <v>408</v>
      </c>
      <c r="B129" s="28" t="s">
        <v>409</v>
      </c>
      <c r="C129" t="s">
        <v>158</v>
      </c>
      <c r="D129" s="25" t="s">
        <v>152</v>
      </c>
      <c r="E129" s="25" t="s">
        <v>153</v>
      </c>
      <c r="F129" s="28" t="s">
        <v>410</v>
      </c>
      <c r="G129" s="2" t="s">
        <v>149</v>
      </c>
      <c r="H129" s="24" t="s">
        <v>150</v>
      </c>
      <c r="I129" s="5" t="s">
        <v>153</v>
      </c>
      <c r="J129" s="4" t="s">
        <v>313</v>
      </c>
      <c r="K129" s="28" t="s">
        <v>410</v>
      </c>
    </row>
    <row r="130" spans="1:11" ht="14.25" customHeight="1">
      <c r="A130" s="28" t="s">
        <v>412</v>
      </c>
      <c r="B130" s="28" t="s">
        <v>413</v>
      </c>
      <c r="C130" t="s">
        <v>158</v>
      </c>
      <c r="D130" s="25" t="s">
        <v>152</v>
      </c>
      <c r="E130" s="25" t="s">
        <v>153</v>
      </c>
      <c r="F130" s="28" t="s">
        <v>329</v>
      </c>
      <c r="G130" s="2" t="s">
        <v>149</v>
      </c>
      <c r="H130" s="24" t="s">
        <v>150</v>
      </c>
      <c r="I130" s="5" t="s">
        <v>153</v>
      </c>
      <c r="J130" s="4" t="s">
        <v>313</v>
      </c>
      <c r="K130" s="28" t="s">
        <v>329</v>
      </c>
    </row>
    <row r="131" spans="1:11" ht="14.25" customHeight="1">
      <c r="A131" s="28" t="s">
        <v>414</v>
      </c>
      <c r="B131" s="28" t="s">
        <v>415</v>
      </c>
      <c r="C131" t="s">
        <v>158</v>
      </c>
      <c r="D131" s="25" t="s">
        <v>152</v>
      </c>
      <c r="E131" s="25" t="s">
        <v>153</v>
      </c>
      <c r="F131" s="28" t="s">
        <v>329</v>
      </c>
      <c r="G131" s="2" t="s">
        <v>149</v>
      </c>
      <c r="H131" s="24" t="s">
        <v>150</v>
      </c>
      <c r="I131" s="5" t="s">
        <v>153</v>
      </c>
      <c r="J131" s="4" t="s">
        <v>313</v>
      </c>
      <c r="K131" s="28" t="s">
        <v>329</v>
      </c>
    </row>
    <row r="132" spans="1:11" ht="14.25" customHeight="1">
      <c r="A132" s="28" t="s">
        <v>416</v>
      </c>
      <c r="B132" s="28" t="s">
        <v>417</v>
      </c>
      <c r="C132" t="s">
        <v>158</v>
      </c>
      <c r="D132" s="25" t="s">
        <v>152</v>
      </c>
      <c r="E132" s="25" t="s">
        <v>153</v>
      </c>
      <c r="F132" s="28" t="s">
        <v>329</v>
      </c>
      <c r="G132" s="2" t="s">
        <v>149</v>
      </c>
      <c r="H132" s="24" t="s">
        <v>150</v>
      </c>
      <c r="I132" s="5" t="s">
        <v>153</v>
      </c>
      <c r="J132" s="4" t="s">
        <v>313</v>
      </c>
      <c r="K132" s="28" t="s">
        <v>329</v>
      </c>
    </row>
    <row r="133" spans="1:11" ht="14.25" customHeight="1">
      <c r="A133" s="28" t="s">
        <v>418</v>
      </c>
      <c r="B133" s="28" t="s">
        <v>419</v>
      </c>
      <c r="C133" t="s">
        <v>158</v>
      </c>
      <c r="D133" s="25" t="s">
        <v>152</v>
      </c>
      <c r="E133" s="25" t="s">
        <v>153</v>
      </c>
      <c r="F133" s="28" t="s">
        <v>406</v>
      </c>
      <c r="G133" s="2" t="s">
        <v>149</v>
      </c>
      <c r="H133" s="24" t="s">
        <v>150</v>
      </c>
      <c r="I133" s="5" t="s">
        <v>153</v>
      </c>
      <c r="J133" s="4" t="s">
        <v>313</v>
      </c>
      <c r="K133" s="28" t="s">
        <v>406</v>
      </c>
    </row>
    <row r="134" spans="1:11" ht="14.25" customHeight="1">
      <c r="A134" s="28" t="s">
        <v>420</v>
      </c>
      <c r="B134" s="28" t="s">
        <v>421</v>
      </c>
      <c r="C134" t="s">
        <v>158</v>
      </c>
      <c r="D134" s="25" t="s">
        <v>152</v>
      </c>
      <c r="E134" s="25" t="s">
        <v>153</v>
      </c>
      <c r="F134" s="28" t="s">
        <v>406</v>
      </c>
      <c r="G134" s="2" t="s">
        <v>149</v>
      </c>
      <c r="H134" s="24" t="s">
        <v>150</v>
      </c>
      <c r="I134" s="5" t="s">
        <v>153</v>
      </c>
      <c r="J134" s="4" t="s">
        <v>313</v>
      </c>
      <c r="K134" s="28" t="s">
        <v>406</v>
      </c>
    </row>
    <row r="135" spans="1:11" ht="14.25" customHeight="1">
      <c r="A135" s="28" t="s">
        <v>422</v>
      </c>
      <c r="B135" s="28" t="s">
        <v>423</v>
      </c>
      <c r="C135" t="s">
        <v>158</v>
      </c>
      <c r="D135" s="25" t="s">
        <v>152</v>
      </c>
      <c r="E135" s="25" t="s">
        <v>153</v>
      </c>
      <c r="F135" s="28" t="s">
        <v>406</v>
      </c>
      <c r="G135" s="2" t="s">
        <v>149</v>
      </c>
      <c r="H135" s="24" t="s">
        <v>150</v>
      </c>
      <c r="I135" s="5" t="s">
        <v>153</v>
      </c>
      <c r="J135" s="4" t="s">
        <v>313</v>
      </c>
      <c r="K135" s="28" t="s">
        <v>406</v>
      </c>
    </row>
    <row r="136" spans="1:11" ht="14.25" customHeight="1">
      <c r="A136" s="28" t="s">
        <v>425</v>
      </c>
      <c r="B136" s="28" t="s">
        <v>426</v>
      </c>
      <c r="C136" t="s">
        <v>158</v>
      </c>
      <c r="D136" s="25" t="s">
        <v>152</v>
      </c>
      <c r="E136" s="25" t="s">
        <v>153</v>
      </c>
      <c r="F136" s="28" t="s">
        <v>406</v>
      </c>
      <c r="G136" s="2" t="s">
        <v>149</v>
      </c>
      <c r="H136" s="24" t="s">
        <v>150</v>
      </c>
      <c r="I136" s="5" t="s">
        <v>153</v>
      </c>
      <c r="J136" s="4" t="s">
        <v>313</v>
      </c>
      <c r="K136" s="28" t="s">
        <v>406</v>
      </c>
    </row>
    <row r="137" spans="1:11" ht="14.25" customHeight="1">
      <c r="A137" s="28" t="s">
        <v>428</v>
      </c>
      <c r="B137" s="28" t="s">
        <v>429</v>
      </c>
      <c r="C137" t="s">
        <v>158</v>
      </c>
      <c r="D137" s="25" t="s">
        <v>152</v>
      </c>
      <c r="E137" s="25" t="s">
        <v>153</v>
      </c>
      <c r="F137" s="28" t="s">
        <v>329</v>
      </c>
      <c r="G137" s="2" t="s">
        <v>149</v>
      </c>
      <c r="H137" s="24" t="s">
        <v>150</v>
      </c>
      <c r="I137" s="5" t="s">
        <v>153</v>
      </c>
      <c r="J137" s="4" t="s">
        <v>313</v>
      </c>
      <c r="K137" s="28" t="s">
        <v>329</v>
      </c>
    </row>
    <row r="138" spans="1:11" ht="14.25" customHeight="1">
      <c r="A138" s="28" t="s">
        <v>430</v>
      </c>
      <c r="B138" s="28" t="s">
        <v>431</v>
      </c>
      <c r="C138" t="s">
        <v>158</v>
      </c>
      <c r="D138" s="25" t="s">
        <v>152</v>
      </c>
      <c r="E138" s="25" t="s">
        <v>153</v>
      </c>
      <c r="F138" s="28" t="s">
        <v>329</v>
      </c>
      <c r="G138" s="2" t="s">
        <v>149</v>
      </c>
      <c r="H138" s="24" t="s">
        <v>150</v>
      </c>
      <c r="I138" s="5" t="s">
        <v>153</v>
      </c>
      <c r="J138" s="4" t="s">
        <v>313</v>
      </c>
      <c r="K138" s="28" t="s">
        <v>329</v>
      </c>
    </row>
    <row r="139" spans="1:11" ht="14.25" customHeight="1">
      <c r="A139" s="28" t="s">
        <v>432</v>
      </c>
      <c r="B139" s="28" t="s">
        <v>433</v>
      </c>
      <c r="C139" t="s">
        <v>158</v>
      </c>
      <c r="D139" s="25" t="s">
        <v>152</v>
      </c>
      <c r="E139" s="25" t="s">
        <v>153</v>
      </c>
      <c r="F139" s="28" t="s">
        <v>329</v>
      </c>
      <c r="G139" s="2" t="s">
        <v>149</v>
      </c>
      <c r="H139" s="24" t="s">
        <v>150</v>
      </c>
      <c r="I139" s="5" t="s">
        <v>153</v>
      </c>
      <c r="J139" s="4" t="s">
        <v>313</v>
      </c>
      <c r="K139" s="28" t="s">
        <v>329</v>
      </c>
    </row>
    <row r="140" spans="1:11" ht="14.25" customHeight="1">
      <c r="A140" s="28" t="s">
        <v>435</v>
      </c>
      <c r="B140" s="28" t="s">
        <v>436</v>
      </c>
      <c r="C140" t="s">
        <v>158</v>
      </c>
      <c r="D140" s="25" t="s">
        <v>152</v>
      </c>
      <c r="E140" s="25" t="s">
        <v>153</v>
      </c>
      <c r="F140" s="28" t="s">
        <v>410</v>
      </c>
      <c r="G140" s="2" t="s">
        <v>149</v>
      </c>
      <c r="H140" s="24" t="s">
        <v>150</v>
      </c>
      <c r="I140" s="5" t="s">
        <v>153</v>
      </c>
      <c r="J140" s="4" t="s">
        <v>313</v>
      </c>
      <c r="K140" s="28" t="s">
        <v>410</v>
      </c>
    </row>
    <row r="141" spans="1:11" ht="14.25" customHeight="1">
      <c r="A141" s="28" t="s">
        <v>437</v>
      </c>
      <c r="B141" s="28" t="s">
        <v>438</v>
      </c>
      <c r="C141" t="s">
        <v>158</v>
      </c>
      <c r="D141" s="25" t="s">
        <v>152</v>
      </c>
      <c r="E141" s="25" t="s">
        <v>153</v>
      </c>
      <c r="F141" s="28" t="s">
        <v>333</v>
      </c>
      <c r="G141" s="2" t="s">
        <v>149</v>
      </c>
      <c r="H141" s="24" t="s">
        <v>150</v>
      </c>
      <c r="I141" s="5" t="s">
        <v>153</v>
      </c>
      <c r="J141" s="4" t="s">
        <v>313</v>
      </c>
      <c r="K141" s="28" t="s">
        <v>333</v>
      </c>
    </row>
    <row r="142" spans="1:11" ht="14.25" customHeight="1">
      <c r="A142" s="28" t="s">
        <v>439</v>
      </c>
      <c r="B142" s="28" t="s">
        <v>440</v>
      </c>
      <c r="C142" t="s">
        <v>158</v>
      </c>
      <c r="D142" s="25" t="s">
        <v>152</v>
      </c>
      <c r="E142" s="25" t="s">
        <v>153</v>
      </c>
      <c r="F142" s="28" t="s">
        <v>441</v>
      </c>
      <c r="G142" s="2" t="s">
        <v>149</v>
      </c>
      <c r="H142" s="24" t="s">
        <v>150</v>
      </c>
      <c r="I142" s="5" t="s">
        <v>153</v>
      </c>
      <c r="J142" s="4" t="s">
        <v>313</v>
      </c>
      <c r="K142" s="28" t="s">
        <v>441</v>
      </c>
    </row>
    <row r="143" spans="1:11" ht="14.25" customHeight="1">
      <c r="A143" s="28" t="s">
        <v>442</v>
      </c>
      <c r="B143" s="28" t="s">
        <v>443</v>
      </c>
      <c r="C143" t="s">
        <v>158</v>
      </c>
      <c r="D143" s="25" t="s">
        <v>152</v>
      </c>
      <c r="E143" s="25" t="s">
        <v>153</v>
      </c>
      <c r="F143" s="28" t="s">
        <v>395</v>
      </c>
      <c r="G143" s="2" t="s">
        <v>149</v>
      </c>
      <c r="H143" s="24" t="s">
        <v>150</v>
      </c>
      <c r="I143" s="5" t="s">
        <v>153</v>
      </c>
      <c r="J143" s="4" t="s">
        <v>313</v>
      </c>
      <c r="K143" s="28" t="s">
        <v>395</v>
      </c>
    </row>
    <row r="144" spans="1:11" ht="14.25" customHeight="1">
      <c r="A144" s="28" t="s">
        <v>445</v>
      </c>
      <c r="B144" s="28" t="s">
        <v>446</v>
      </c>
      <c r="C144" t="s">
        <v>158</v>
      </c>
      <c r="D144" s="25" t="s">
        <v>152</v>
      </c>
      <c r="E144" s="25" t="s">
        <v>153</v>
      </c>
      <c r="F144" s="28" t="s">
        <v>446</v>
      </c>
      <c r="G144" s="2" t="s">
        <v>149</v>
      </c>
      <c r="H144" s="24" t="s">
        <v>150</v>
      </c>
      <c r="I144" s="5" t="s">
        <v>153</v>
      </c>
      <c r="J144" s="4" t="s">
        <v>313</v>
      </c>
      <c r="K144" s="28" t="s">
        <v>446</v>
      </c>
    </row>
    <row r="145" spans="1:11" ht="14.25" customHeight="1">
      <c r="A145" s="28" t="s">
        <v>448</v>
      </c>
      <c r="B145" s="28" t="s">
        <v>449</v>
      </c>
      <c r="C145" t="s">
        <v>158</v>
      </c>
      <c r="D145" s="25" t="s">
        <v>152</v>
      </c>
      <c r="E145" s="25" t="s">
        <v>153</v>
      </c>
      <c r="F145" s="28" t="s">
        <v>330</v>
      </c>
      <c r="G145" s="2" t="s">
        <v>149</v>
      </c>
      <c r="H145" s="24" t="s">
        <v>150</v>
      </c>
      <c r="I145" s="5" t="s">
        <v>153</v>
      </c>
      <c r="J145" s="4" t="s">
        <v>313</v>
      </c>
      <c r="K145" s="28" t="s">
        <v>330</v>
      </c>
    </row>
    <row r="146" spans="1:11" ht="14.25" customHeight="1">
      <c r="A146" s="28" t="s">
        <v>451</v>
      </c>
      <c r="B146" s="28" t="s">
        <v>452</v>
      </c>
      <c r="C146" t="s">
        <v>158</v>
      </c>
      <c r="D146" s="25" t="s">
        <v>152</v>
      </c>
      <c r="E146" s="25" t="s">
        <v>153</v>
      </c>
      <c r="F146" s="28" t="s">
        <v>329</v>
      </c>
      <c r="G146" s="2" t="s">
        <v>149</v>
      </c>
      <c r="H146" s="24" t="s">
        <v>150</v>
      </c>
      <c r="I146" s="5" t="s">
        <v>153</v>
      </c>
      <c r="J146" s="4" t="s">
        <v>313</v>
      </c>
      <c r="K146" s="28" t="s">
        <v>329</v>
      </c>
    </row>
    <row r="147" spans="1:11" ht="14.25" customHeight="1">
      <c r="A147" s="28" t="s">
        <v>453</v>
      </c>
      <c r="B147" s="28" t="s">
        <v>454</v>
      </c>
      <c r="C147" t="s">
        <v>158</v>
      </c>
      <c r="D147" s="25" t="s">
        <v>152</v>
      </c>
      <c r="E147" s="25" t="s">
        <v>153</v>
      </c>
      <c r="F147" s="28" t="s">
        <v>329</v>
      </c>
      <c r="G147" s="2" t="s">
        <v>149</v>
      </c>
      <c r="H147" s="24" t="s">
        <v>150</v>
      </c>
      <c r="I147" s="5" t="s">
        <v>153</v>
      </c>
      <c r="J147" s="4" t="s">
        <v>313</v>
      </c>
      <c r="K147" s="28" t="s">
        <v>329</v>
      </c>
    </row>
    <row r="148" spans="1:11" ht="14.25" customHeight="1">
      <c r="A148" s="28" t="s">
        <v>456</v>
      </c>
      <c r="B148" s="28" t="s">
        <v>457</v>
      </c>
      <c r="C148" t="s">
        <v>158</v>
      </c>
      <c r="D148" s="25" t="s">
        <v>152</v>
      </c>
      <c r="E148" s="25" t="s">
        <v>153</v>
      </c>
      <c r="F148" s="28" t="s">
        <v>333</v>
      </c>
      <c r="G148" s="2" t="s">
        <v>149</v>
      </c>
      <c r="H148" s="24" t="s">
        <v>150</v>
      </c>
      <c r="I148" s="5" t="s">
        <v>153</v>
      </c>
      <c r="J148" s="4" t="s">
        <v>313</v>
      </c>
      <c r="K148" s="28" t="s">
        <v>333</v>
      </c>
    </row>
    <row r="149" spans="1:11" ht="14.25" customHeight="1">
      <c r="A149" s="28" t="s">
        <v>459</v>
      </c>
      <c r="B149" s="28" t="s">
        <v>460</v>
      </c>
      <c r="C149" t="s">
        <v>158</v>
      </c>
      <c r="D149" s="25" t="s">
        <v>152</v>
      </c>
      <c r="E149" s="25" t="s">
        <v>153</v>
      </c>
      <c r="F149" s="28" t="s">
        <v>461</v>
      </c>
      <c r="G149" s="2" t="s">
        <v>149</v>
      </c>
      <c r="H149" s="24" t="s">
        <v>150</v>
      </c>
      <c r="I149" s="5" t="s">
        <v>153</v>
      </c>
      <c r="J149" s="4" t="s">
        <v>313</v>
      </c>
      <c r="K149" s="28" t="s">
        <v>461</v>
      </c>
    </row>
    <row r="150" spans="1:11" ht="14.25" customHeight="1">
      <c r="A150" s="28" t="s">
        <v>462</v>
      </c>
      <c r="B150" s="28" t="s">
        <v>463</v>
      </c>
      <c r="C150" t="s">
        <v>158</v>
      </c>
      <c r="D150" s="25" t="s">
        <v>152</v>
      </c>
      <c r="E150" s="25" t="s">
        <v>153</v>
      </c>
      <c r="F150" s="28" t="s">
        <v>373</v>
      </c>
      <c r="G150" s="2" t="s">
        <v>149</v>
      </c>
      <c r="H150" s="24" t="s">
        <v>150</v>
      </c>
      <c r="I150" s="5" t="s">
        <v>153</v>
      </c>
      <c r="J150" s="4" t="s">
        <v>313</v>
      </c>
      <c r="K150" s="28" t="s">
        <v>373</v>
      </c>
    </row>
    <row r="151" spans="1:11" ht="14.25" customHeight="1">
      <c r="A151" s="28" t="s">
        <v>464</v>
      </c>
      <c r="B151" s="28" t="s">
        <v>465</v>
      </c>
      <c r="C151" t="s">
        <v>158</v>
      </c>
      <c r="D151" s="25" t="s">
        <v>152</v>
      </c>
      <c r="E151" s="25" t="s">
        <v>153</v>
      </c>
      <c r="F151" s="28" t="s">
        <v>330</v>
      </c>
      <c r="G151" s="2" t="s">
        <v>149</v>
      </c>
      <c r="H151" s="24" t="s">
        <v>150</v>
      </c>
      <c r="I151" s="5" t="s">
        <v>153</v>
      </c>
      <c r="J151" s="4" t="s">
        <v>313</v>
      </c>
      <c r="K151" s="28" t="s">
        <v>330</v>
      </c>
    </row>
    <row r="152" spans="1:11" ht="14.25" customHeight="1">
      <c r="A152" s="28" t="s">
        <v>467</v>
      </c>
      <c r="B152" s="28" t="s">
        <v>468</v>
      </c>
      <c r="C152" t="s">
        <v>158</v>
      </c>
      <c r="D152" s="25" t="s">
        <v>152</v>
      </c>
      <c r="E152" s="25" t="s">
        <v>153</v>
      </c>
      <c r="F152" s="28" t="s">
        <v>343</v>
      </c>
      <c r="G152" s="2" t="s">
        <v>149</v>
      </c>
      <c r="H152" s="24" t="s">
        <v>150</v>
      </c>
      <c r="I152" s="5" t="s">
        <v>153</v>
      </c>
      <c r="J152" s="4" t="s">
        <v>313</v>
      </c>
      <c r="K152" s="28" t="s">
        <v>343</v>
      </c>
    </row>
    <row r="153" spans="1:11" ht="14.25" customHeight="1">
      <c r="A153" s="28" t="s">
        <v>469</v>
      </c>
      <c r="B153" s="28" t="s">
        <v>470</v>
      </c>
      <c r="C153" t="s">
        <v>158</v>
      </c>
      <c r="D153" s="25" t="s">
        <v>152</v>
      </c>
      <c r="E153" s="25" t="s">
        <v>153</v>
      </c>
      <c r="F153" s="28" t="s">
        <v>406</v>
      </c>
      <c r="G153" s="2" t="s">
        <v>149</v>
      </c>
      <c r="H153" s="24" t="s">
        <v>150</v>
      </c>
      <c r="I153" s="5" t="s">
        <v>153</v>
      </c>
      <c r="J153" s="4" t="s">
        <v>313</v>
      </c>
      <c r="K153" s="28" t="s">
        <v>406</v>
      </c>
    </row>
    <row r="154" spans="1:11" ht="14.25" customHeight="1">
      <c r="A154" s="28" t="s">
        <v>471</v>
      </c>
      <c r="B154" s="28" t="s">
        <v>472</v>
      </c>
      <c r="C154" t="s">
        <v>158</v>
      </c>
      <c r="D154" s="25" t="s">
        <v>152</v>
      </c>
      <c r="E154" s="25" t="s">
        <v>153</v>
      </c>
      <c r="F154" s="28" t="s">
        <v>307</v>
      </c>
      <c r="G154" s="2" t="s">
        <v>149</v>
      </c>
      <c r="H154" s="24" t="s">
        <v>150</v>
      </c>
      <c r="I154" s="5" t="s">
        <v>153</v>
      </c>
      <c r="J154" s="4" t="s">
        <v>313</v>
      </c>
      <c r="K154" s="28" t="s">
        <v>307</v>
      </c>
    </row>
    <row r="155" spans="1:11" ht="14.25" customHeight="1">
      <c r="A155" s="28" t="s">
        <v>473</v>
      </c>
      <c r="B155" s="28" t="s">
        <v>474</v>
      </c>
      <c r="C155" t="s">
        <v>158</v>
      </c>
      <c r="D155" s="25" t="s">
        <v>152</v>
      </c>
      <c r="E155" s="25" t="s">
        <v>153</v>
      </c>
      <c r="F155" s="28" t="s">
        <v>357</v>
      </c>
      <c r="G155" s="2" t="s">
        <v>149</v>
      </c>
      <c r="H155" s="24" t="s">
        <v>150</v>
      </c>
      <c r="I155" s="5" t="s">
        <v>153</v>
      </c>
      <c r="J155" s="4" t="s">
        <v>313</v>
      </c>
      <c r="K155" s="28" t="s">
        <v>357</v>
      </c>
    </row>
    <row r="156" spans="1:11" ht="14.25" customHeight="1">
      <c r="A156" s="28" t="s">
        <v>477</v>
      </c>
      <c r="B156" s="28" t="s">
        <v>478</v>
      </c>
      <c r="C156" t="s">
        <v>158</v>
      </c>
      <c r="D156" s="25" t="s">
        <v>152</v>
      </c>
      <c r="E156" s="25" t="s">
        <v>153</v>
      </c>
      <c r="F156" s="28" t="s">
        <v>329</v>
      </c>
      <c r="G156" s="2" t="s">
        <v>149</v>
      </c>
      <c r="H156" s="24" t="s">
        <v>150</v>
      </c>
      <c r="I156" s="5" t="s">
        <v>153</v>
      </c>
      <c r="J156" s="4" t="s">
        <v>313</v>
      </c>
      <c r="K156" s="28" t="s">
        <v>329</v>
      </c>
    </row>
    <row r="157" spans="1:11" ht="14.25" customHeight="1">
      <c r="A157" s="28" t="s">
        <v>479</v>
      </c>
      <c r="B157" s="28" t="s">
        <v>480</v>
      </c>
      <c r="C157" t="s">
        <v>158</v>
      </c>
      <c r="D157" s="25" t="s">
        <v>152</v>
      </c>
      <c r="E157" s="25" t="s">
        <v>153</v>
      </c>
      <c r="F157" s="28" t="s">
        <v>343</v>
      </c>
      <c r="G157" s="2" t="s">
        <v>149</v>
      </c>
      <c r="H157" s="24" t="s">
        <v>150</v>
      </c>
      <c r="I157" s="5" t="s">
        <v>153</v>
      </c>
      <c r="J157" s="4" t="s">
        <v>313</v>
      </c>
      <c r="K157" s="28" t="s">
        <v>343</v>
      </c>
    </row>
    <row r="158" spans="1:11" ht="14.25" customHeight="1">
      <c r="A158" s="28" t="s">
        <v>481</v>
      </c>
      <c r="B158" s="28" t="s">
        <v>482</v>
      </c>
      <c r="C158" t="s">
        <v>158</v>
      </c>
      <c r="D158" s="25" t="s">
        <v>152</v>
      </c>
      <c r="E158" s="25" t="s">
        <v>153</v>
      </c>
      <c r="F158" s="28" t="s">
        <v>483</v>
      </c>
      <c r="G158" s="2" t="s">
        <v>149</v>
      </c>
      <c r="H158" s="24" t="s">
        <v>150</v>
      </c>
      <c r="I158" s="5" t="s">
        <v>153</v>
      </c>
      <c r="J158" s="4" t="s">
        <v>313</v>
      </c>
      <c r="K158" s="28" t="s">
        <v>483</v>
      </c>
    </row>
    <row r="159" spans="1:11" ht="14.25" customHeight="1">
      <c r="A159" s="28" t="s">
        <v>485</v>
      </c>
      <c r="B159" s="28" t="s">
        <v>486</v>
      </c>
      <c r="C159" t="s">
        <v>158</v>
      </c>
      <c r="D159" s="25" t="s">
        <v>152</v>
      </c>
      <c r="E159" s="25" t="s">
        <v>153</v>
      </c>
      <c r="F159" s="28" t="s">
        <v>384</v>
      </c>
      <c r="G159" s="2" t="s">
        <v>149</v>
      </c>
      <c r="H159" s="24" t="s">
        <v>150</v>
      </c>
      <c r="I159" s="5" t="s">
        <v>153</v>
      </c>
      <c r="J159" s="4" t="s">
        <v>313</v>
      </c>
      <c r="K159" s="28" t="s">
        <v>384</v>
      </c>
    </row>
    <row r="160" spans="1:11" ht="14.25" customHeight="1">
      <c r="A160" s="28" t="s">
        <v>487</v>
      </c>
      <c r="B160" s="28" t="s">
        <v>488</v>
      </c>
      <c r="C160" t="s">
        <v>158</v>
      </c>
      <c r="D160" s="25" t="s">
        <v>152</v>
      </c>
      <c r="E160" s="25" t="s">
        <v>153</v>
      </c>
      <c r="F160" s="28" t="s">
        <v>406</v>
      </c>
      <c r="G160" s="2" t="s">
        <v>149</v>
      </c>
      <c r="H160" s="24" t="s">
        <v>150</v>
      </c>
      <c r="I160" s="5" t="s">
        <v>153</v>
      </c>
      <c r="J160" s="4" t="s">
        <v>313</v>
      </c>
      <c r="K160" s="28" t="s">
        <v>406</v>
      </c>
    </row>
    <row r="161" spans="1:11" ht="14.25" customHeight="1">
      <c r="A161" s="28" t="s">
        <v>489</v>
      </c>
      <c r="B161" s="28" t="s">
        <v>490</v>
      </c>
      <c r="C161" t="s">
        <v>158</v>
      </c>
      <c r="D161" s="25" t="s">
        <v>152</v>
      </c>
      <c r="E161" s="25" t="s">
        <v>153</v>
      </c>
      <c r="F161" s="28" t="s">
        <v>406</v>
      </c>
      <c r="G161" s="2" t="s">
        <v>149</v>
      </c>
      <c r="H161" s="24" t="s">
        <v>150</v>
      </c>
      <c r="I161" s="5" t="s">
        <v>153</v>
      </c>
      <c r="J161" s="4" t="s">
        <v>313</v>
      </c>
      <c r="K161" s="28" t="s">
        <v>406</v>
      </c>
    </row>
    <row r="162" spans="1:11" ht="14.25" customHeight="1">
      <c r="A162" s="28" t="s">
        <v>492</v>
      </c>
      <c r="B162" s="28" t="s">
        <v>493</v>
      </c>
      <c r="C162" t="s">
        <v>158</v>
      </c>
      <c r="D162" s="25" t="s">
        <v>152</v>
      </c>
      <c r="E162" s="25" t="s">
        <v>153</v>
      </c>
      <c r="F162" s="28" t="s">
        <v>307</v>
      </c>
      <c r="G162" s="2" t="s">
        <v>149</v>
      </c>
      <c r="H162" s="24" t="s">
        <v>150</v>
      </c>
      <c r="I162" s="5" t="s">
        <v>153</v>
      </c>
      <c r="J162" s="4" t="s">
        <v>313</v>
      </c>
      <c r="K162" s="28" t="s">
        <v>307</v>
      </c>
    </row>
    <row r="163" spans="1:11" ht="14.25" customHeight="1">
      <c r="A163" s="28" t="s">
        <v>494</v>
      </c>
      <c r="B163" s="28" t="s">
        <v>495</v>
      </c>
      <c r="C163" t="s">
        <v>158</v>
      </c>
      <c r="D163" s="25" t="s">
        <v>152</v>
      </c>
      <c r="E163" s="25" t="s">
        <v>153</v>
      </c>
      <c r="F163" s="28" t="s">
        <v>317</v>
      </c>
      <c r="G163" s="2" t="s">
        <v>149</v>
      </c>
      <c r="H163" s="24" t="s">
        <v>150</v>
      </c>
      <c r="I163" s="5" t="s">
        <v>153</v>
      </c>
      <c r="J163" s="4" t="s">
        <v>313</v>
      </c>
      <c r="K163" s="28" t="s">
        <v>317</v>
      </c>
    </row>
    <row r="164" spans="1:11" ht="14.25" customHeight="1">
      <c r="A164" s="28" t="s">
        <v>496</v>
      </c>
      <c r="B164" s="28" t="s">
        <v>497</v>
      </c>
      <c r="C164" t="s">
        <v>158</v>
      </c>
      <c r="D164" s="25" t="s">
        <v>152</v>
      </c>
      <c r="E164" s="25" t="s">
        <v>153</v>
      </c>
      <c r="F164" s="28" t="s">
        <v>317</v>
      </c>
      <c r="G164" s="2" t="s">
        <v>149</v>
      </c>
      <c r="H164" s="24" t="s">
        <v>150</v>
      </c>
      <c r="I164" s="5" t="s">
        <v>153</v>
      </c>
      <c r="J164" s="4" t="s">
        <v>313</v>
      </c>
      <c r="K164" s="28" t="s">
        <v>317</v>
      </c>
    </row>
    <row r="165" spans="1:11" ht="14.25" customHeight="1">
      <c r="A165" s="28" t="s">
        <v>498</v>
      </c>
      <c r="B165" s="28" t="s">
        <v>499</v>
      </c>
      <c r="C165" t="s">
        <v>158</v>
      </c>
      <c r="D165" s="25" t="s">
        <v>152</v>
      </c>
      <c r="E165" s="25" t="s">
        <v>153</v>
      </c>
      <c r="F165" s="28" t="s">
        <v>320</v>
      </c>
      <c r="G165" s="2" t="s">
        <v>149</v>
      </c>
      <c r="H165" s="24" t="s">
        <v>150</v>
      </c>
      <c r="I165" s="5" t="s">
        <v>153</v>
      </c>
      <c r="J165" s="4" t="s">
        <v>313</v>
      </c>
      <c r="K165" s="28" t="s">
        <v>320</v>
      </c>
    </row>
    <row r="166" spans="1:11" ht="14.25" customHeight="1">
      <c r="A166" s="28" t="s">
        <v>500</v>
      </c>
      <c r="B166" s="28" t="s">
        <v>501</v>
      </c>
      <c r="C166" t="s">
        <v>158</v>
      </c>
      <c r="D166" s="25" t="s">
        <v>152</v>
      </c>
      <c r="E166" s="25" t="s">
        <v>153</v>
      </c>
      <c r="F166" s="28" t="s">
        <v>213</v>
      </c>
      <c r="G166" s="2" t="s">
        <v>149</v>
      </c>
      <c r="H166" s="24" t="s">
        <v>150</v>
      </c>
      <c r="I166" s="5" t="s">
        <v>153</v>
      </c>
      <c r="J166" s="4" t="s">
        <v>313</v>
      </c>
      <c r="K166" s="28" t="s">
        <v>213</v>
      </c>
    </row>
    <row r="167" spans="1:11" ht="14.25" customHeight="1">
      <c r="A167" s="28" t="s">
        <v>502</v>
      </c>
      <c r="B167" s="28" t="s">
        <v>503</v>
      </c>
      <c r="C167" t="s">
        <v>158</v>
      </c>
      <c r="D167" s="25" t="s">
        <v>152</v>
      </c>
      <c r="E167" s="25" t="s">
        <v>153</v>
      </c>
      <c r="F167" s="28" t="s">
        <v>441</v>
      </c>
      <c r="G167" s="2" t="s">
        <v>149</v>
      </c>
      <c r="H167" s="24" t="s">
        <v>150</v>
      </c>
      <c r="I167" s="5" t="s">
        <v>153</v>
      </c>
      <c r="J167" s="4" t="s">
        <v>313</v>
      </c>
      <c r="K167" s="28" t="s">
        <v>441</v>
      </c>
    </row>
    <row r="168" spans="1:11" ht="14.25" customHeight="1">
      <c r="A168" s="28" t="s">
        <v>504</v>
      </c>
      <c r="B168" s="28" t="s">
        <v>505</v>
      </c>
      <c r="C168" t="s">
        <v>158</v>
      </c>
      <c r="D168" s="25" t="s">
        <v>152</v>
      </c>
      <c r="E168" s="25" t="s">
        <v>153</v>
      </c>
      <c r="F168" s="28" t="s">
        <v>406</v>
      </c>
      <c r="G168" s="2" t="s">
        <v>149</v>
      </c>
      <c r="H168" s="24" t="s">
        <v>150</v>
      </c>
      <c r="I168" s="5" t="s">
        <v>153</v>
      </c>
      <c r="J168" s="4" t="s">
        <v>313</v>
      </c>
      <c r="K168" s="28" t="s">
        <v>406</v>
      </c>
    </row>
    <row r="169" spans="1:11" ht="14.25" customHeight="1">
      <c r="A169" s="28" t="s">
        <v>506</v>
      </c>
      <c r="B169" s="28" t="s">
        <v>507</v>
      </c>
      <c r="C169" t="s">
        <v>158</v>
      </c>
      <c r="D169" s="25" t="s">
        <v>152</v>
      </c>
      <c r="E169" s="25" t="s">
        <v>153</v>
      </c>
      <c r="F169" s="28" t="s">
        <v>406</v>
      </c>
      <c r="G169" s="2" t="s">
        <v>149</v>
      </c>
      <c r="H169" s="24" t="s">
        <v>150</v>
      </c>
      <c r="I169" s="5" t="s">
        <v>153</v>
      </c>
      <c r="J169" s="4" t="s">
        <v>313</v>
      </c>
      <c r="K169" s="28" t="s">
        <v>406</v>
      </c>
    </row>
    <row r="170" spans="1:11" ht="14.25" customHeight="1">
      <c r="A170" s="28" t="s">
        <v>508</v>
      </c>
      <c r="B170" s="28" t="s">
        <v>509</v>
      </c>
      <c r="C170" t="s">
        <v>158</v>
      </c>
      <c r="D170" s="25" t="s">
        <v>152</v>
      </c>
      <c r="E170" s="25" t="s">
        <v>153</v>
      </c>
      <c r="F170" s="28" t="s">
        <v>305</v>
      </c>
      <c r="G170" s="2" t="s">
        <v>149</v>
      </c>
      <c r="H170" s="24" t="s">
        <v>150</v>
      </c>
      <c r="I170" s="5" t="s">
        <v>153</v>
      </c>
      <c r="J170" s="4" t="s">
        <v>313</v>
      </c>
      <c r="K170" s="28" t="s">
        <v>305</v>
      </c>
    </row>
    <row r="171" spans="1:11" ht="14.25" customHeight="1">
      <c r="A171" s="28" t="s">
        <v>512</v>
      </c>
      <c r="B171" s="28" t="s">
        <v>513</v>
      </c>
      <c r="C171" t="s">
        <v>158</v>
      </c>
      <c r="D171" s="25" t="s">
        <v>152</v>
      </c>
      <c r="E171" s="25" t="s">
        <v>153</v>
      </c>
      <c r="F171" s="28" t="s">
        <v>514</v>
      </c>
      <c r="G171" s="2" t="s">
        <v>149</v>
      </c>
      <c r="H171" s="24" t="s">
        <v>150</v>
      </c>
      <c r="I171" s="5" t="s">
        <v>153</v>
      </c>
      <c r="J171" s="4" t="s">
        <v>313</v>
      </c>
      <c r="K171" s="28" t="s">
        <v>514</v>
      </c>
    </row>
    <row r="172" spans="1:11" ht="14.25" customHeight="1">
      <c r="A172" s="28" t="s">
        <v>515</v>
      </c>
      <c r="B172" s="28" t="s">
        <v>516</v>
      </c>
      <c r="C172" t="s">
        <v>158</v>
      </c>
      <c r="D172" s="25" t="s">
        <v>152</v>
      </c>
      <c r="E172" s="25" t="s">
        <v>153</v>
      </c>
      <c r="F172" s="28" t="s">
        <v>357</v>
      </c>
      <c r="G172" s="2" t="s">
        <v>149</v>
      </c>
      <c r="H172" s="24" t="s">
        <v>150</v>
      </c>
      <c r="I172" s="5" t="s">
        <v>153</v>
      </c>
      <c r="J172" s="4" t="s">
        <v>313</v>
      </c>
      <c r="K172" s="28" t="s">
        <v>357</v>
      </c>
    </row>
    <row r="173" spans="1:11" ht="14.25" customHeight="1">
      <c r="A173" s="28" t="s">
        <v>518</v>
      </c>
      <c r="B173" s="28" t="s">
        <v>519</v>
      </c>
      <c r="C173" t="s">
        <v>158</v>
      </c>
      <c r="D173" s="25" t="s">
        <v>152</v>
      </c>
      <c r="E173" s="25" t="s">
        <v>153</v>
      </c>
      <c r="F173" s="28" t="s">
        <v>333</v>
      </c>
      <c r="G173" s="2" t="s">
        <v>149</v>
      </c>
      <c r="H173" s="24" t="s">
        <v>150</v>
      </c>
      <c r="I173" s="5" t="s">
        <v>153</v>
      </c>
      <c r="J173" s="4" t="s">
        <v>313</v>
      </c>
      <c r="K173" s="28" t="s">
        <v>333</v>
      </c>
    </row>
    <row r="174" spans="1:11" ht="14.25" customHeight="1">
      <c r="A174" s="28" t="s">
        <v>520</v>
      </c>
      <c r="B174" s="28" t="s">
        <v>521</v>
      </c>
      <c r="C174" t="s">
        <v>158</v>
      </c>
      <c r="D174" s="25" t="s">
        <v>152</v>
      </c>
      <c r="E174" s="25" t="s">
        <v>153</v>
      </c>
      <c r="F174" s="28" t="s">
        <v>406</v>
      </c>
      <c r="G174" s="2" t="s">
        <v>149</v>
      </c>
      <c r="H174" s="24" t="s">
        <v>150</v>
      </c>
      <c r="I174" s="5" t="s">
        <v>153</v>
      </c>
      <c r="J174" s="4" t="s">
        <v>313</v>
      </c>
      <c r="K174" s="28" t="s">
        <v>406</v>
      </c>
    </row>
    <row r="175" spans="1:11" ht="14.25" customHeight="1">
      <c r="A175" s="28" t="s">
        <v>522</v>
      </c>
      <c r="B175" s="28" t="s">
        <v>523</v>
      </c>
      <c r="C175" t="s">
        <v>158</v>
      </c>
      <c r="D175" s="25" t="s">
        <v>152</v>
      </c>
      <c r="E175" s="25" t="s">
        <v>153</v>
      </c>
      <c r="F175" s="28" t="s">
        <v>406</v>
      </c>
      <c r="G175" s="2" t="s">
        <v>149</v>
      </c>
      <c r="H175" s="24" t="s">
        <v>150</v>
      </c>
      <c r="I175" s="5" t="s">
        <v>153</v>
      </c>
      <c r="J175" s="4" t="s">
        <v>313</v>
      </c>
      <c r="K175" s="28" t="s">
        <v>406</v>
      </c>
    </row>
    <row r="176" spans="1:11" ht="14.25" customHeight="1">
      <c r="A176" s="28" t="s">
        <v>524</v>
      </c>
      <c r="B176" s="28" t="s">
        <v>525</v>
      </c>
      <c r="C176" t="s">
        <v>158</v>
      </c>
      <c r="D176" s="25" t="s">
        <v>152</v>
      </c>
      <c r="E176" s="25" t="s">
        <v>153</v>
      </c>
      <c r="F176" s="28" t="s">
        <v>406</v>
      </c>
      <c r="G176" s="2" t="s">
        <v>149</v>
      </c>
      <c r="H176" s="24" t="s">
        <v>150</v>
      </c>
      <c r="I176" s="5" t="s">
        <v>153</v>
      </c>
      <c r="J176" s="4" t="s">
        <v>313</v>
      </c>
      <c r="K176" s="28" t="s">
        <v>406</v>
      </c>
    </row>
    <row r="177" spans="1:11" ht="14.25" customHeight="1">
      <c r="A177" s="28" t="s">
        <v>526</v>
      </c>
      <c r="B177" s="28" t="s">
        <v>527</v>
      </c>
      <c r="C177" t="s">
        <v>158</v>
      </c>
      <c r="D177" s="25" t="s">
        <v>152</v>
      </c>
      <c r="E177" s="25" t="s">
        <v>153</v>
      </c>
      <c r="F177" s="28" t="s">
        <v>317</v>
      </c>
      <c r="G177" s="2" t="s">
        <v>149</v>
      </c>
      <c r="H177" s="24" t="s">
        <v>150</v>
      </c>
      <c r="I177" s="5" t="s">
        <v>153</v>
      </c>
      <c r="J177" s="4" t="s">
        <v>313</v>
      </c>
      <c r="K177" s="28" t="s">
        <v>317</v>
      </c>
    </row>
    <row r="178" spans="1:11" ht="14.25" customHeight="1">
      <c r="A178" s="28" t="s">
        <v>529</v>
      </c>
      <c r="B178" s="28" t="s">
        <v>530</v>
      </c>
      <c r="C178" t="s">
        <v>158</v>
      </c>
      <c r="D178" s="25" t="s">
        <v>152</v>
      </c>
      <c r="E178" s="25" t="s">
        <v>153</v>
      </c>
      <c r="F178" s="28" t="s">
        <v>330</v>
      </c>
      <c r="G178" s="2" t="s">
        <v>149</v>
      </c>
      <c r="H178" s="24" t="s">
        <v>150</v>
      </c>
      <c r="I178" s="5" t="s">
        <v>153</v>
      </c>
      <c r="J178" s="4" t="s">
        <v>313</v>
      </c>
      <c r="K178" s="28" t="s">
        <v>330</v>
      </c>
    </row>
    <row r="179" spans="1:11" ht="14.25" customHeight="1">
      <c r="A179" s="28" t="s">
        <v>531</v>
      </c>
      <c r="B179" s="28" t="s">
        <v>532</v>
      </c>
      <c r="C179" t="s">
        <v>158</v>
      </c>
      <c r="D179" s="25" t="s">
        <v>152</v>
      </c>
      <c r="E179" s="25" t="s">
        <v>153</v>
      </c>
      <c r="F179" s="28" t="s">
        <v>343</v>
      </c>
      <c r="G179" s="2" t="s">
        <v>149</v>
      </c>
      <c r="H179" s="24" t="s">
        <v>150</v>
      </c>
      <c r="I179" s="5" t="s">
        <v>153</v>
      </c>
      <c r="J179" s="4" t="s">
        <v>313</v>
      </c>
      <c r="K179" s="28" t="s">
        <v>343</v>
      </c>
    </row>
    <row r="180" spans="1:11" ht="14.25" customHeight="1">
      <c r="A180" s="28" t="s">
        <v>533</v>
      </c>
      <c r="B180" s="28" t="s">
        <v>534</v>
      </c>
      <c r="C180" t="s">
        <v>158</v>
      </c>
      <c r="D180" s="25" t="s">
        <v>152</v>
      </c>
      <c r="E180" s="25" t="s">
        <v>153</v>
      </c>
      <c r="F180" s="28" t="s">
        <v>535</v>
      </c>
      <c r="G180" s="2" t="s">
        <v>149</v>
      </c>
      <c r="H180" s="24" t="s">
        <v>150</v>
      </c>
      <c r="I180" s="5" t="s">
        <v>153</v>
      </c>
      <c r="J180" s="4" t="s">
        <v>313</v>
      </c>
      <c r="K180" s="28" t="s">
        <v>535</v>
      </c>
    </row>
    <row r="181" spans="1:11" ht="14.25" customHeight="1">
      <c r="A181" s="28" t="s">
        <v>537</v>
      </c>
      <c r="B181" s="28" t="s">
        <v>538</v>
      </c>
      <c r="C181" t="s">
        <v>158</v>
      </c>
      <c r="D181" s="25" t="s">
        <v>152</v>
      </c>
      <c r="E181" s="25" t="s">
        <v>153</v>
      </c>
      <c r="F181" s="28" t="s">
        <v>307</v>
      </c>
      <c r="G181" s="2" t="s">
        <v>149</v>
      </c>
      <c r="H181" s="24" t="s">
        <v>150</v>
      </c>
      <c r="I181" s="5" t="s">
        <v>153</v>
      </c>
      <c r="J181" s="4" t="s">
        <v>313</v>
      </c>
      <c r="K181" s="28" t="s">
        <v>307</v>
      </c>
    </row>
    <row r="182" spans="1:11" ht="14.25" customHeight="1">
      <c r="A182" s="28" t="s">
        <v>539</v>
      </c>
      <c r="B182" s="28" t="s">
        <v>540</v>
      </c>
      <c r="C182" t="s">
        <v>158</v>
      </c>
      <c r="D182" s="25" t="s">
        <v>152</v>
      </c>
      <c r="E182" s="25" t="s">
        <v>153</v>
      </c>
      <c r="F182" s="28" t="s">
        <v>329</v>
      </c>
      <c r="G182" s="2" t="s">
        <v>149</v>
      </c>
      <c r="H182" s="24" t="s">
        <v>150</v>
      </c>
      <c r="I182" s="5" t="s">
        <v>153</v>
      </c>
      <c r="J182" s="4" t="s">
        <v>313</v>
      </c>
      <c r="K182" s="28" t="s">
        <v>329</v>
      </c>
    </row>
    <row r="183" spans="1:11" ht="14.25" customHeight="1">
      <c r="A183" s="28" t="s">
        <v>541</v>
      </c>
      <c r="B183" s="28" t="s">
        <v>542</v>
      </c>
      <c r="C183" t="s">
        <v>158</v>
      </c>
      <c r="D183" s="25" t="s">
        <v>152</v>
      </c>
      <c r="E183" s="25" t="s">
        <v>153</v>
      </c>
      <c r="F183" s="28" t="s">
        <v>317</v>
      </c>
      <c r="G183" s="2" t="s">
        <v>149</v>
      </c>
      <c r="H183" s="24" t="s">
        <v>150</v>
      </c>
      <c r="I183" s="5" t="s">
        <v>153</v>
      </c>
      <c r="J183" s="4" t="s">
        <v>313</v>
      </c>
      <c r="K183" s="28" t="s">
        <v>317</v>
      </c>
    </row>
    <row r="184" spans="1:11" ht="14.25" customHeight="1">
      <c r="A184" s="28" t="s">
        <v>543</v>
      </c>
      <c r="B184" s="28" t="s">
        <v>544</v>
      </c>
      <c r="C184" t="s">
        <v>158</v>
      </c>
      <c r="D184" s="25" t="s">
        <v>152</v>
      </c>
      <c r="E184" s="25" t="s">
        <v>153</v>
      </c>
      <c r="F184" s="28" t="s">
        <v>370</v>
      </c>
      <c r="G184" s="2" t="s">
        <v>149</v>
      </c>
      <c r="H184" s="24" t="s">
        <v>150</v>
      </c>
      <c r="I184" s="5" t="s">
        <v>153</v>
      </c>
      <c r="J184" s="4" t="s">
        <v>313</v>
      </c>
      <c r="K184" s="28" t="s">
        <v>370</v>
      </c>
    </row>
    <row r="185" spans="1:11" ht="14.25" customHeight="1">
      <c r="A185" s="28" t="s">
        <v>545</v>
      </c>
      <c r="B185" s="28" t="s">
        <v>546</v>
      </c>
      <c r="C185" t="s">
        <v>158</v>
      </c>
      <c r="D185" s="25" t="s">
        <v>152</v>
      </c>
      <c r="E185" s="25" t="s">
        <v>153</v>
      </c>
      <c r="F185" s="28" t="s">
        <v>343</v>
      </c>
      <c r="G185" s="2" t="s">
        <v>149</v>
      </c>
      <c r="H185" s="24" t="s">
        <v>150</v>
      </c>
      <c r="I185" s="5" t="s">
        <v>153</v>
      </c>
      <c r="J185" s="4" t="s">
        <v>313</v>
      </c>
      <c r="K185" s="28" t="s">
        <v>343</v>
      </c>
    </row>
    <row r="186" spans="1:11" ht="14.25" customHeight="1">
      <c r="A186" s="28" t="s">
        <v>547</v>
      </c>
      <c r="B186" s="28" t="s">
        <v>548</v>
      </c>
      <c r="C186" t="s">
        <v>158</v>
      </c>
      <c r="D186" s="25" t="s">
        <v>152</v>
      </c>
      <c r="E186" s="25" t="s">
        <v>153</v>
      </c>
      <c r="F186" s="28" t="s">
        <v>329</v>
      </c>
      <c r="G186" s="2" t="s">
        <v>149</v>
      </c>
      <c r="H186" s="24" t="s">
        <v>150</v>
      </c>
      <c r="I186" s="5" t="s">
        <v>153</v>
      </c>
      <c r="J186" s="4" t="s">
        <v>313</v>
      </c>
      <c r="K186" s="28" t="s">
        <v>329</v>
      </c>
    </row>
    <row r="187" spans="1:11" ht="14.25" customHeight="1">
      <c r="A187" s="28" t="s">
        <v>549</v>
      </c>
      <c r="B187" s="28" t="s">
        <v>550</v>
      </c>
      <c r="C187" t="s">
        <v>158</v>
      </c>
      <c r="D187" s="25" t="s">
        <v>152</v>
      </c>
      <c r="E187" s="25" t="s">
        <v>153</v>
      </c>
      <c r="F187" s="28" t="s">
        <v>329</v>
      </c>
      <c r="G187" s="2" t="s">
        <v>149</v>
      </c>
      <c r="H187" s="24" t="s">
        <v>150</v>
      </c>
      <c r="I187" s="5" t="s">
        <v>153</v>
      </c>
      <c r="J187" s="4" t="s">
        <v>313</v>
      </c>
      <c r="K187" s="28" t="s">
        <v>329</v>
      </c>
    </row>
    <row r="188" spans="1:11" ht="14.25" customHeight="1">
      <c r="A188" s="28" t="s">
        <v>551</v>
      </c>
      <c r="B188" s="28" t="s">
        <v>552</v>
      </c>
      <c r="C188" t="s">
        <v>158</v>
      </c>
      <c r="D188" s="25" t="s">
        <v>152</v>
      </c>
      <c r="E188" s="25" t="s">
        <v>153</v>
      </c>
      <c r="F188" s="28" t="s">
        <v>190</v>
      </c>
      <c r="G188" s="2" t="s">
        <v>149</v>
      </c>
      <c r="H188" s="24" t="s">
        <v>150</v>
      </c>
      <c r="I188" s="5" t="s">
        <v>153</v>
      </c>
      <c r="J188" s="4" t="s">
        <v>313</v>
      </c>
      <c r="K188" s="28" t="s">
        <v>190</v>
      </c>
    </row>
    <row r="189" spans="1:11" ht="14.25" customHeight="1">
      <c r="A189" s="28" t="s">
        <v>553</v>
      </c>
      <c r="B189" s="28" t="s">
        <v>554</v>
      </c>
      <c r="C189" t="s">
        <v>158</v>
      </c>
      <c r="D189" s="25" t="s">
        <v>152</v>
      </c>
      <c r="E189" s="25" t="s">
        <v>153</v>
      </c>
      <c r="F189" s="28" t="s">
        <v>343</v>
      </c>
      <c r="G189" s="2" t="s">
        <v>149</v>
      </c>
      <c r="H189" s="24" t="s">
        <v>150</v>
      </c>
      <c r="I189" s="5" t="s">
        <v>153</v>
      </c>
      <c r="J189" s="4" t="s">
        <v>313</v>
      </c>
      <c r="K189" s="28" t="s">
        <v>343</v>
      </c>
    </row>
    <row r="190" spans="1:11" ht="14.25" customHeight="1">
      <c r="A190" s="28" t="s">
        <v>555</v>
      </c>
      <c r="B190" s="28" t="s">
        <v>556</v>
      </c>
      <c r="C190" t="s">
        <v>158</v>
      </c>
      <c r="D190" s="25" t="s">
        <v>152</v>
      </c>
      <c r="E190" s="25" t="s">
        <v>153</v>
      </c>
      <c r="F190" s="28" t="s">
        <v>330</v>
      </c>
      <c r="G190" s="2" t="s">
        <v>149</v>
      </c>
      <c r="H190" s="24" t="s">
        <v>150</v>
      </c>
      <c r="I190" s="5" t="s">
        <v>153</v>
      </c>
      <c r="J190" s="4" t="s">
        <v>313</v>
      </c>
      <c r="K190" s="28" t="s">
        <v>330</v>
      </c>
    </row>
    <row r="191" spans="1:11" ht="14.25" customHeight="1">
      <c r="A191" s="28" t="s">
        <v>557</v>
      </c>
      <c r="B191" s="28" t="s">
        <v>558</v>
      </c>
      <c r="C191" t="s">
        <v>158</v>
      </c>
      <c r="D191" s="25" t="s">
        <v>152</v>
      </c>
      <c r="E191" s="25" t="s">
        <v>153</v>
      </c>
      <c r="F191" s="28" t="s">
        <v>406</v>
      </c>
      <c r="G191" s="2" t="s">
        <v>149</v>
      </c>
      <c r="H191" s="24" t="s">
        <v>150</v>
      </c>
      <c r="I191" s="5" t="s">
        <v>153</v>
      </c>
      <c r="J191" s="4" t="s">
        <v>313</v>
      </c>
      <c r="K191" s="28" t="s">
        <v>406</v>
      </c>
    </row>
    <row r="192" spans="1:11" ht="14.25" customHeight="1">
      <c r="A192" s="28" t="s">
        <v>559</v>
      </c>
      <c r="B192" s="28" t="s">
        <v>560</v>
      </c>
      <c r="C192" t="s">
        <v>158</v>
      </c>
      <c r="D192" s="25" t="s">
        <v>152</v>
      </c>
      <c r="E192" s="25" t="s">
        <v>153</v>
      </c>
      <c r="F192" s="28" t="s">
        <v>343</v>
      </c>
      <c r="G192" s="2" t="s">
        <v>149</v>
      </c>
      <c r="H192" s="24" t="s">
        <v>150</v>
      </c>
      <c r="I192" s="5" t="s">
        <v>153</v>
      </c>
      <c r="J192" s="4" t="s">
        <v>313</v>
      </c>
      <c r="K192" s="28" t="s">
        <v>343</v>
      </c>
    </row>
    <row r="193" spans="1:11" ht="14.25" customHeight="1">
      <c r="A193" s="28" t="s">
        <v>561</v>
      </c>
      <c r="B193" s="28" t="s">
        <v>562</v>
      </c>
      <c r="C193" t="s">
        <v>158</v>
      </c>
      <c r="D193" s="25" t="s">
        <v>152</v>
      </c>
      <c r="E193" s="25" t="s">
        <v>153</v>
      </c>
      <c r="F193" s="28" t="s">
        <v>370</v>
      </c>
      <c r="G193" s="2" t="s">
        <v>149</v>
      </c>
      <c r="H193" s="24" t="s">
        <v>150</v>
      </c>
      <c r="I193" s="5" t="s">
        <v>153</v>
      </c>
      <c r="J193" s="4" t="s">
        <v>313</v>
      </c>
      <c r="K193" s="28" t="s">
        <v>370</v>
      </c>
    </row>
    <row r="194" spans="1:11" ht="14.25" customHeight="1">
      <c r="A194" s="28" t="s">
        <v>563</v>
      </c>
      <c r="B194" s="28" t="s">
        <v>564</v>
      </c>
      <c r="C194" t="s">
        <v>158</v>
      </c>
      <c r="D194" s="25" t="s">
        <v>152</v>
      </c>
      <c r="E194" s="25" t="s">
        <v>153</v>
      </c>
      <c r="F194" s="28" t="s">
        <v>317</v>
      </c>
      <c r="G194" s="2" t="s">
        <v>149</v>
      </c>
      <c r="H194" s="24" t="s">
        <v>150</v>
      </c>
      <c r="I194" s="5" t="s">
        <v>153</v>
      </c>
      <c r="J194" s="4" t="s">
        <v>313</v>
      </c>
      <c r="K194" s="28" t="s">
        <v>317</v>
      </c>
    </row>
    <row r="195" spans="1:11" ht="14.25" customHeight="1">
      <c r="A195" s="28" t="s">
        <v>565</v>
      </c>
      <c r="B195" s="28" t="s">
        <v>566</v>
      </c>
      <c r="C195" t="s">
        <v>158</v>
      </c>
      <c r="D195" s="25" t="s">
        <v>152</v>
      </c>
      <c r="E195" s="25" t="s">
        <v>153</v>
      </c>
      <c r="F195" s="28" t="s">
        <v>329</v>
      </c>
      <c r="G195" s="2" t="s">
        <v>149</v>
      </c>
      <c r="H195" s="24" t="s">
        <v>150</v>
      </c>
      <c r="I195" s="5" t="s">
        <v>153</v>
      </c>
      <c r="J195" s="4" t="s">
        <v>313</v>
      </c>
      <c r="K195" s="28" t="s">
        <v>329</v>
      </c>
    </row>
    <row r="196" spans="1:11" ht="14.25" customHeight="1">
      <c r="A196" s="28" t="s">
        <v>567</v>
      </c>
      <c r="B196" s="28" t="s">
        <v>567</v>
      </c>
      <c r="C196" t="s">
        <v>158</v>
      </c>
      <c r="D196" s="25" t="s">
        <v>152</v>
      </c>
      <c r="E196" s="25" t="s">
        <v>153</v>
      </c>
      <c r="F196" s="28" t="s">
        <v>568</v>
      </c>
      <c r="G196" s="15" t="s">
        <v>149</v>
      </c>
      <c r="H196" s="25" t="s">
        <v>150</v>
      </c>
      <c r="I196" s="5" t="s">
        <v>153</v>
      </c>
      <c r="J196" s="4" t="s">
        <v>313</v>
      </c>
      <c r="K196" s="28" t="s">
        <v>568</v>
      </c>
    </row>
  </sheetData>
  <autoFilter ref="F1:F76"/>
  <sortState ref="M2:N75">
    <sortCondition ref="M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76"/>
  <sheetViews>
    <sheetView topLeftCell="A37" workbookViewId="0">
      <selection activeCell="F18" sqref="F18"/>
    </sheetView>
  </sheetViews>
  <sheetFormatPr defaultRowHeight="15"/>
  <sheetData>
    <row r="1" spans="1:2">
      <c r="A1" s="1" t="s">
        <v>144</v>
      </c>
      <c r="B1" s="1" t="s">
        <v>145</v>
      </c>
    </row>
    <row r="2" spans="1:2" ht="30">
      <c r="A2" s="7">
        <v>1</v>
      </c>
      <c r="B2" s="8" t="s">
        <v>154</v>
      </c>
    </row>
    <row r="3" spans="1:2">
      <c r="A3" s="7">
        <v>1</v>
      </c>
      <c r="B3" s="8" t="s">
        <v>155</v>
      </c>
    </row>
    <row r="4" spans="1:2">
      <c r="A4" s="7">
        <v>1</v>
      </c>
      <c r="B4" s="8" t="s">
        <v>156</v>
      </c>
    </row>
    <row r="5" spans="1:2">
      <c r="A5" s="7">
        <v>1</v>
      </c>
      <c r="B5" s="8" t="s">
        <v>157</v>
      </c>
    </row>
    <row r="6" spans="1:2">
      <c r="A6" s="7">
        <v>1</v>
      </c>
      <c r="B6" s="8" t="s">
        <v>158</v>
      </c>
    </row>
    <row r="7" spans="1:2">
      <c r="A7" s="7">
        <v>1</v>
      </c>
      <c r="B7" s="8" t="s">
        <v>159</v>
      </c>
    </row>
    <row r="8" spans="1:2">
      <c r="A8" s="7">
        <v>1</v>
      </c>
      <c r="B8" s="8" t="s">
        <v>160</v>
      </c>
    </row>
    <row r="9" spans="1:2" ht="30">
      <c r="A9" s="7">
        <v>1</v>
      </c>
      <c r="B9" s="8" t="s">
        <v>161</v>
      </c>
    </row>
    <row r="10" spans="1:2">
      <c r="A10" s="7">
        <v>1</v>
      </c>
      <c r="B10" s="8" t="s">
        <v>162</v>
      </c>
    </row>
    <row r="11" spans="1:2" ht="30">
      <c r="A11" s="7">
        <v>1</v>
      </c>
      <c r="B11" s="8" t="s">
        <v>163</v>
      </c>
    </row>
    <row r="12" spans="1:2">
      <c r="A12" s="7">
        <v>1</v>
      </c>
      <c r="B12" s="8" t="s">
        <v>215</v>
      </c>
    </row>
    <row r="13" spans="1:2">
      <c r="A13" s="9">
        <v>2</v>
      </c>
      <c r="B13" s="10" t="s">
        <v>152</v>
      </c>
    </row>
    <row r="14" spans="1:2">
      <c r="A14" s="9">
        <v>2</v>
      </c>
      <c r="B14" s="10" t="s">
        <v>153</v>
      </c>
    </row>
    <row r="15" spans="1:2">
      <c r="A15" s="11">
        <v>3</v>
      </c>
      <c r="B15" s="12" t="s">
        <v>152</v>
      </c>
    </row>
    <row r="16" spans="1:2">
      <c r="A16" s="11">
        <v>3</v>
      </c>
      <c r="B16" s="12" t="s">
        <v>153</v>
      </c>
    </row>
    <row r="17" spans="1:2" ht="45">
      <c r="A17" s="7">
        <v>4</v>
      </c>
      <c r="B17" s="8" t="s">
        <v>183</v>
      </c>
    </row>
    <row r="18" spans="1:2" ht="60">
      <c r="A18" s="7">
        <v>4</v>
      </c>
      <c r="B18" s="8" t="s">
        <v>184</v>
      </c>
    </row>
    <row r="19" spans="1:2" ht="60">
      <c r="A19" s="7">
        <v>4</v>
      </c>
      <c r="B19" s="8" t="s">
        <v>185</v>
      </c>
    </row>
    <row r="20" spans="1:2" ht="60">
      <c r="A20" s="7">
        <v>4</v>
      </c>
      <c r="B20" s="8" t="s">
        <v>186</v>
      </c>
    </row>
    <row r="21" spans="1:2" ht="60">
      <c r="A21" s="7">
        <v>4</v>
      </c>
      <c r="B21" s="8" t="s">
        <v>187</v>
      </c>
    </row>
    <row r="22" spans="1:2" ht="30">
      <c r="A22" s="7">
        <v>4</v>
      </c>
      <c r="B22" s="8" t="s">
        <v>188</v>
      </c>
    </row>
    <row r="23" spans="1:2" ht="45">
      <c r="A23" s="7">
        <v>4</v>
      </c>
      <c r="B23" s="8" t="s">
        <v>189</v>
      </c>
    </row>
    <row r="24" spans="1:2">
      <c r="A24" s="7">
        <v>4</v>
      </c>
      <c r="B24" s="8" t="s">
        <v>190</v>
      </c>
    </row>
    <row r="25" spans="1:2" ht="60">
      <c r="A25" s="7">
        <v>4</v>
      </c>
      <c r="B25" s="8" t="s">
        <v>191</v>
      </c>
    </row>
    <row r="26" spans="1:2" ht="90">
      <c r="A26" s="7">
        <v>4</v>
      </c>
      <c r="B26" s="8" t="s">
        <v>192</v>
      </c>
    </row>
    <row r="27" spans="1:2" ht="60">
      <c r="A27" s="7">
        <v>4</v>
      </c>
      <c r="B27" s="8" t="s">
        <v>193</v>
      </c>
    </row>
    <row r="28" spans="1:2">
      <c r="A28" s="7">
        <v>4</v>
      </c>
      <c r="B28" s="8" t="s">
        <v>194</v>
      </c>
    </row>
    <row r="29" spans="1:2">
      <c r="A29" s="7">
        <v>4</v>
      </c>
      <c r="B29" s="8" t="s">
        <v>158</v>
      </c>
    </row>
    <row r="30" spans="1:2">
      <c r="A30" s="7">
        <v>4</v>
      </c>
      <c r="B30" s="8" t="s">
        <v>195</v>
      </c>
    </row>
    <row r="31" spans="1:2">
      <c r="A31" s="7">
        <v>4</v>
      </c>
      <c r="B31" s="8" t="s">
        <v>196</v>
      </c>
    </row>
    <row r="32" spans="1:2" ht="30">
      <c r="A32" s="7">
        <v>4</v>
      </c>
      <c r="B32" s="8" t="s">
        <v>197</v>
      </c>
    </row>
    <row r="33" spans="1:2" ht="30">
      <c r="A33" s="7">
        <v>4</v>
      </c>
      <c r="B33" s="8" t="s">
        <v>198</v>
      </c>
    </row>
    <row r="34" spans="1:2" ht="30">
      <c r="A34" s="7">
        <v>4</v>
      </c>
      <c r="B34" s="8" t="s">
        <v>199</v>
      </c>
    </row>
    <row r="35" spans="1:2" ht="30">
      <c r="A35" s="7">
        <v>4</v>
      </c>
      <c r="B35" s="8" t="s">
        <v>200</v>
      </c>
    </row>
    <row r="36" spans="1:2" ht="30">
      <c r="A36" s="7">
        <v>4</v>
      </c>
      <c r="B36" s="8" t="s">
        <v>201</v>
      </c>
    </row>
    <row r="37" spans="1:2" ht="30">
      <c r="A37" s="7">
        <v>4</v>
      </c>
      <c r="B37" s="8" t="s">
        <v>202</v>
      </c>
    </row>
    <row r="38" spans="1:2" ht="30">
      <c r="A38" s="7">
        <v>4</v>
      </c>
      <c r="B38" s="8" t="s">
        <v>203</v>
      </c>
    </row>
    <row r="39" spans="1:2" ht="30">
      <c r="A39" s="7">
        <v>4</v>
      </c>
      <c r="B39" s="8" t="s">
        <v>204</v>
      </c>
    </row>
    <row r="40" spans="1:2" ht="30">
      <c r="A40" s="7">
        <v>4</v>
      </c>
      <c r="B40" s="8" t="s">
        <v>205</v>
      </c>
    </row>
    <row r="41" spans="1:2" ht="30">
      <c r="A41" s="7">
        <v>4</v>
      </c>
      <c r="B41" s="8" t="s">
        <v>206</v>
      </c>
    </row>
    <row r="42" spans="1:2">
      <c r="A42" s="7">
        <v>4</v>
      </c>
      <c r="B42" s="8" t="s">
        <v>207</v>
      </c>
    </row>
    <row r="43" spans="1:2">
      <c r="A43" s="7">
        <v>4</v>
      </c>
      <c r="B43" s="8" t="s">
        <v>208</v>
      </c>
    </row>
    <row r="44" spans="1:2" ht="60">
      <c r="A44" s="7">
        <v>4</v>
      </c>
      <c r="B44" s="8" t="s">
        <v>209</v>
      </c>
    </row>
    <row r="45" spans="1:2" ht="45">
      <c r="A45" s="7">
        <v>4</v>
      </c>
      <c r="B45" s="8" t="s">
        <v>210</v>
      </c>
    </row>
    <row r="46" spans="1:2" ht="30">
      <c r="A46" s="7">
        <v>4</v>
      </c>
      <c r="B46" s="8" t="s">
        <v>211</v>
      </c>
    </row>
    <row r="47" spans="1:2">
      <c r="A47" s="7">
        <v>4</v>
      </c>
      <c r="B47" s="8" t="s">
        <v>212</v>
      </c>
    </row>
    <row r="48" spans="1:2" ht="30">
      <c r="A48" s="7">
        <v>4</v>
      </c>
      <c r="B48" s="8" t="s">
        <v>213</v>
      </c>
    </row>
    <row r="49" spans="1:7">
      <c r="A49" s="7">
        <v>4</v>
      </c>
      <c r="B49" s="8" t="s">
        <v>214</v>
      </c>
    </row>
    <row r="50" spans="1:7">
      <c r="A50" s="9">
        <v>5</v>
      </c>
      <c r="B50" s="10" t="s">
        <v>146</v>
      </c>
    </row>
    <row r="51" spans="1:7">
      <c r="A51" s="9">
        <v>5</v>
      </c>
      <c r="B51" s="10" t="s">
        <v>147</v>
      </c>
    </row>
    <row r="52" spans="1:7" ht="30">
      <c r="A52" s="9">
        <v>5</v>
      </c>
      <c r="B52" s="10" t="s">
        <v>148</v>
      </c>
    </row>
    <row r="53" spans="1:7" ht="30">
      <c r="A53" s="9">
        <v>5</v>
      </c>
      <c r="B53" s="10" t="s">
        <v>149</v>
      </c>
    </row>
    <row r="54" spans="1:7" ht="30">
      <c r="A54" s="9">
        <v>5</v>
      </c>
      <c r="B54" s="10" t="s">
        <v>164</v>
      </c>
    </row>
    <row r="55" spans="1:7">
      <c r="A55" s="13">
        <v>6</v>
      </c>
      <c r="B55" s="14" t="s">
        <v>150</v>
      </c>
    </row>
    <row r="56" spans="1:7">
      <c r="A56" s="13">
        <v>6</v>
      </c>
      <c r="B56" s="14" t="s">
        <v>151</v>
      </c>
    </row>
    <row r="57" spans="1:7">
      <c r="A57" s="11">
        <v>7</v>
      </c>
      <c r="B57" s="12" t="s">
        <v>152</v>
      </c>
    </row>
    <row r="58" spans="1:7">
      <c r="A58" s="11">
        <v>7</v>
      </c>
      <c r="B58" s="12" t="s">
        <v>153</v>
      </c>
      <c r="G58" s="8" t="s">
        <v>170</v>
      </c>
    </row>
    <row r="59" spans="1:7">
      <c r="A59" s="7">
        <v>8</v>
      </c>
      <c r="B59" s="8" t="s">
        <v>165</v>
      </c>
      <c r="G59" s="8" t="s">
        <v>171</v>
      </c>
    </row>
    <row r="60" spans="1:7">
      <c r="A60" s="7">
        <v>8</v>
      </c>
      <c r="B60" s="8" t="s">
        <v>166</v>
      </c>
      <c r="G60" s="8" t="s">
        <v>169</v>
      </c>
    </row>
    <row r="61" spans="1:7">
      <c r="A61" s="7">
        <v>8</v>
      </c>
      <c r="B61" s="8" t="s">
        <v>167</v>
      </c>
      <c r="G61" s="8" t="s">
        <v>167</v>
      </c>
    </row>
    <row r="62" spans="1:7">
      <c r="A62" s="7">
        <v>8</v>
      </c>
      <c r="B62" s="8" t="s">
        <v>168</v>
      </c>
      <c r="G62" s="8" t="s">
        <v>168</v>
      </c>
    </row>
    <row r="63" spans="1:7">
      <c r="A63" s="7">
        <v>8</v>
      </c>
      <c r="B63" s="8" t="s">
        <v>169</v>
      </c>
      <c r="G63" s="8" t="s">
        <v>166</v>
      </c>
    </row>
    <row r="64" spans="1:7">
      <c r="A64" s="7">
        <v>8</v>
      </c>
      <c r="B64" s="8" t="s">
        <v>170</v>
      </c>
      <c r="G64" s="8" t="s">
        <v>165</v>
      </c>
    </row>
    <row r="65" spans="1:7">
      <c r="A65" s="7">
        <v>8</v>
      </c>
      <c r="B65" s="8" t="s">
        <v>171</v>
      </c>
      <c r="G65" s="8" t="s">
        <v>179</v>
      </c>
    </row>
    <row r="66" spans="1:7">
      <c r="A66" s="7">
        <v>8</v>
      </c>
      <c r="B66" s="8" t="s">
        <v>172</v>
      </c>
      <c r="G66" s="8" t="s">
        <v>180</v>
      </c>
    </row>
    <row r="67" spans="1:7">
      <c r="A67" s="7">
        <v>8</v>
      </c>
      <c r="B67" s="8" t="s">
        <v>173</v>
      </c>
      <c r="G67" s="8" t="s">
        <v>178</v>
      </c>
    </row>
    <row r="68" spans="1:7">
      <c r="A68" s="7">
        <v>8</v>
      </c>
      <c r="B68" s="8" t="s">
        <v>174</v>
      </c>
      <c r="G68" s="8" t="s">
        <v>176</v>
      </c>
    </row>
    <row r="69" spans="1:7">
      <c r="A69" s="7">
        <v>8</v>
      </c>
      <c r="B69" s="8" t="s">
        <v>175</v>
      </c>
      <c r="G69" s="8" t="s">
        <v>177</v>
      </c>
    </row>
    <row r="70" spans="1:7">
      <c r="A70" s="7">
        <v>8</v>
      </c>
      <c r="B70" s="8" t="s">
        <v>176</v>
      </c>
      <c r="G70" s="8" t="s">
        <v>175</v>
      </c>
    </row>
    <row r="71" spans="1:7">
      <c r="A71" s="7">
        <v>8</v>
      </c>
      <c r="B71" s="8" t="s">
        <v>177</v>
      </c>
      <c r="G71" s="8" t="s">
        <v>173</v>
      </c>
    </row>
    <row r="72" spans="1:7">
      <c r="A72" s="7">
        <v>8</v>
      </c>
      <c r="B72" s="8" t="s">
        <v>178</v>
      </c>
      <c r="G72" s="8" t="s">
        <v>174</v>
      </c>
    </row>
    <row r="73" spans="1:7">
      <c r="A73" s="7">
        <v>8</v>
      </c>
      <c r="B73" s="8" t="s">
        <v>179</v>
      </c>
      <c r="G73" s="8" t="s">
        <v>172</v>
      </c>
    </row>
    <row r="74" spans="1:7">
      <c r="A74" s="7">
        <v>8</v>
      </c>
      <c r="B74" s="8" t="s">
        <v>180</v>
      </c>
      <c r="G74" s="8" t="s">
        <v>181</v>
      </c>
    </row>
    <row r="75" spans="1:7">
      <c r="A75" s="7">
        <v>8</v>
      </c>
      <c r="B75" s="8" t="s">
        <v>181</v>
      </c>
      <c r="G75" s="8" t="s">
        <v>182</v>
      </c>
    </row>
    <row r="76" spans="1:7">
      <c r="A76" s="7">
        <v>8</v>
      </c>
      <c r="B76" s="8" t="s">
        <v>182</v>
      </c>
    </row>
  </sheetData>
  <sortState ref="G58:G75">
    <sortCondition ref="G5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103"/>
  <sheetViews>
    <sheetView topLeftCell="A70" workbookViewId="0">
      <selection activeCell="H1" sqref="H1:H103"/>
    </sheetView>
  </sheetViews>
  <sheetFormatPr defaultRowHeight="15"/>
  <cols>
    <col min="5" max="5" width="10.28515625" bestFit="1" customWidth="1"/>
    <col min="6" max="6" width="42.42578125" bestFit="1" customWidth="1"/>
    <col min="7" max="7" width="15.5703125" bestFit="1" customWidth="1"/>
    <col min="8" max="8" width="14" bestFit="1" customWidth="1"/>
    <col min="9" max="9" width="18.28515625" bestFit="1" customWidth="1"/>
  </cols>
  <sheetData>
    <row r="1" spans="1:9">
      <c r="A1" s="21" t="s">
        <v>41</v>
      </c>
      <c r="B1" s="21"/>
      <c r="E1" s="27" t="s">
        <v>314</v>
      </c>
      <c r="F1" s="27" t="s">
        <v>315</v>
      </c>
      <c r="G1" s="27" t="s">
        <v>316</v>
      </c>
      <c r="H1" s="27" t="s">
        <v>317</v>
      </c>
      <c r="I1" s="27" t="s">
        <v>317</v>
      </c>
    </row>
    <row r="2" spans="1:9">
      <c r="A2" s="21" t="s">
        <v>43</v>
      </c>
      <c r="B2" s="21"/>
      <c r="E2" s="27" t="s">
        <v>318</v>
      </c>
      <c r="F2" s="27" t="s">
        <v>319</v>
      </c>
      <c r="G2" s="27" t="s">
        <v>316</v>
      </c>
      <c r="H2" s="27" t="s">
        <v>320</v>
      </c>
      <c r="I2" s="27" t="s">
        <v>320</v>
      </c>
    </row>
    <row r="3" spans="1:9">
      <c r="A3" s="20" t="s">
        <v>45</v>
      </c>
      <c r="B3" s="20" t="s">
        <v>169</v>
      </c>
      <c r="E3" s="27" t="s">
        <v>321</v>
      </c>
      <c r="F3" s="27" t="s">
        <v>322</v>
      </c>
      <c r="G3" s="27" t="s">
        <v>316</v>
      </c>
      <c r="H3" s="27" t="s">
        <v>320</v>
      </c>
      <c r="I3" s="27" t="s">
        <v>320</v>
      </c>
    </row>
    <row r="4" spans="1:9">
      <c r="A4" s="20" t="s">
        <v>47</v>
      </c>
      <c r="B4" s="20" t="s">
        <v>169</v>
      </c>
      <c r="E4" s="27" t="s">
        <v>323</v>
      </c>
      <c r="F4" s="27" t="s">
        <v>324</v>
      </c>
      <c r="G4" s="27" t="s">
        <v>316</v>
      </c>
      <c r="H4" s="27" t="s">
        <v>307</v>
      </c>
      <c r="I4" s="27" t="s">
        <v>307</v>
      </c>
    </row>
    <row r="5" spans="1:9">
      <c r="A5" s="20" t="s">
        <v>49</v>
      </c>
      <c r="B5" s="20" t="s">
        <v>303</v>
      </c>
      <c r="E5" s="27" t="s">
        <v>325</v>
      </c>
      <c r="F5" s="27" t="s">
        <v>326</v>
      </c>
      <c r="G5" s="27" t="s">
        <v>316</v>
      </c>
      <c r="H5" s="27" t="s">
        <v>317</v>
      </c>
      <c r="I5" s="27" t="s">
        <v>302</v>
      </c>
    </row>
    <row r="6" spans="1:9">
      <c r="A6" s="20" t="s">
        <v>51</v>
      </c>
      <c r="B6" s="19"/>
      <c r="E6" s="27" t="s">
        <v>327</v>
      </c>
      <c r="F6" s="27" t="s">
        <v>328</v>
      </c>
      <c r="G6" s="27" t="s">
        <v>304</v>
      </c>
      <c r="H6" s="27" t="s">
        <v>329</v>
      </c>
      <c r="I6" s="27" t="s">
        <v>330</v>
      </c>
    </row>
    <row r="7" spans="1:9">
      <c r="A7" s="20" t="s">
        <v>53</v>
      </c>
      <c r="B7" s="19"/>
      <c r="E7" s="27" t="s">
        <v>331</v>
      </c>
      <c r="F7" s="27" t="s">
        <v>332</v>
      </c>
      <c r="G7" s="27" t="s">
        <v>304</v>
      </c>
      <c r="H7" s="27" t="s">
        <v>333</v>
      </c>
      <c r="I7" s="27" t="s">
        <v>333</v>
      </c>
    </row>
    <row r="8" spans="1:9">
      <c r="A8" s="20" t="s">
        <v>55</v>
      </c>
      <c r="B8" s="20" t="s">
        <v>172</v>
      </c>
      <c r="E8" s="27" t="s">
        <v>334</v>
      </c>
      <c r="F8" s="27" t="s">
        <v>335</v>
      </c>
      <c r="G8" s="27" t="s">
        <v>304</v>
      </c>
      <c r="H8" s="27" t="s">
        <v>320</v>
      </c>
      <c r="I8" s="27" t="s">
        <v>320</v>
      </c>
    </row>
    <row r="9" spans="1:9">
      <c r="A9" s="20" t="s">
        <v>57</v>
      </c>
      <c r="B9" s="20" t="s">
        <v>169</v>
      </c>
      <c r="E9" s="27" t="s">
        <v>336</v>
      </c>
      <c r="F9" s="27" t="s">
        <v>337</v>
      </c>
      <c r="G9" s="27" t="s">
        <v>304</v>
      </c>
      <c r="H9" s="27" t="s">
        <v>329</v>
      </c>
      <c r="I9" s="27" t="s">
        <v>338</v>
      </c>
    </row>
    <row r="10" spans="1:9">
      <c r="A10" s="20" t="s">
        <v>59</v>
      </c>
      <c r="B10" s="19"/>
      <c r="E10" s="27" t="s">
        <v>339</v>
      </c>
      <c r="F10" s="27" t="s">
        <v>340</v>
      </c>
      <c r="G10" s="27" t="s">
        <v>304</v>
      </c>
      <c r="H10" s="27" t="s">
        <v>329</v>
      </c>
      <c r="I10" s="27" t="s">
        <v>329</v>
      </c>
    </row>
    <row r="11" spans="1:9">
      <c r="A11" s="20" t="s">
        <v>61</v>
      </c>
      <c r="B11" s="20" t="s">
        <v>171</v>
      </c>
      <c r="E11" s="27" t="s">
        <v>341</v>
      </c>
      <c r="F11" s="27" t="s">
        <v>342</v>
      </c>
      <c r="G11" s="27" t="s">
        <v>304</v>
      </c>
      <c r="H11" s="27" t="s">
        <v>343</v>
      </c>
      <c r="I11" s="27" t="s">
        <v>343</v>
      </c>
    </row>
    <row r="12" spans="1:9">
      <c r="A12" s="20" t="s">
        <v>63</v>
      </c>
      <c r="B12" s="20" t="s">
        <v>306</v>
      </c>
      <c r="E12" s="27" t="s">
        <v>344</v>
      </c>
      <c r="F12" s="27" t="s">
        <v>345</v>
      </c>
      <c r="G12" s="27" t="s">
        <v>304</v>
      </c>
      <c r="H12" s="27" t="s">
        <v>329</v>
      </c>
      <c r="I12" s="27" t="s">
        <v>302</v>
      </c>
    </row>
    <row r="13" spans="1:9">
      <c r="A13" s="20" t="s">
        <v>65</v>
      </c>
      <c r="B13" s="19"/>
      <c r="E13" s="27" t="s">
        <v>346</v>
      </c>
      <c r="F13" s="27" t="s">
        <v>347</v>
      </c>
      <c r="G13" s="27" t="s">
        <v>304</v>
      </c>
      <c r="H13" s="27" t="s">
        <v>329</v>
      </c>
      <c r="I13" s="27" t="s">
        <v>302</v>
      </c>
    </row>
    <row r="14" spans="1:9">
      <c r="A14" s="20" t="s">
        <v>67</v>
      </c>
      <c r="B14" s="19"/>
      <c r="E14" s="27" t="s">
        <v>348</v>
      </c>
      <c r="F14" s="27" t="s">
        <v>349</v>
      </c>
      <c r="G14" s="27" t="s">
        <v>304</v>
      </c>
      <c r="H14" s="27" t="s">
        <v>317</v>
      </c>
      <c r="I14" s="27" t="s">
        <v>317</v>
      </c>
    </row>
    <row r="15" spans="1:9">
      <c r="A15" s="20" t="s">
        <v>69</v>
      </c>
      <c r="B15" s="20" t="s">
        <v>167</v>
      </c>
      <c r="E15" s="27" t="s">
        <v>350</v>
      </c>
      <c r="F15" s="27" t="s">
        <v>351</v>
      </c>
      <c r="G15" s="27" t="s">
        <v>304</v>
      </c>
      <c r="H15" s="27" t="s">
        <v>333</v>
      </c>
      <c r="I15" s="27" t="s">
        <v>333</v>
      </c>
    </row>
    <row r="16" spans="1:9">
      <c r="A16" s="22" t="s">
        <v>71</v>
      </c>
      <c r="B16" s="22" t="s">
        <v>174</v>
      </c>
      <c r="E16" s="27" t="s">
        <v>352</v>
      </c>
      <c r="F16" s="27" t="s">
        <v>353</v>
      </c>
      <c r="G16" s="27" t="s">
        <v>304</v>
      </c>
      <c r="H16" s="27" t="s">
        <v>333</v>
      </c>
      <c r="I16" s="27" t="s">
        <v>354</v>
      </c>
    </row>
    <row r="17" spans="1:9">
      <c r="A17" s="22" t="s">
        <v>72</v>
      </c>
      <c r="B17" s="22" t="s">
        <v>175</v>
      </c>
      <c r="E17" s="27" t="s">
        <v>355</v>
      </c>
      <c r="F17" s="27" t="s">
        <v>356</v>
      </c>
      <c r="G17" s="27" t="s">
        <v>304</v>
      </c>
      <c r="H17" s="27" t="s">
        <v>357</v>
      </c>
      <c r="I17" s="27" t="s">
        <v>357</v>
      </c>
    </row>
    <row r="18" spans="1:9">
      <c r="A18" s="20" t="s">
        <v>74</v>
      </c>
      <c r="B18" s="20" t="s">
        <v>308</v>
      </c>
      <c r="E18" s="27" t="s">
        <v>358</v>
      </c>
      <c r="F18" s="27" t="s">
        <v>359</v>
      </c>
      <c r="G18" s="27" t="s">
        <v>304</v>
      </c>
      <c r="H18" s="27" t="s">
        <v>317</v>
      </c>
      <c r="I18" s="27" t="s">
        <v>317</v>
      </c>
    </row>
    <row r="19" spans="1:9" ht="42.75">
      <c r="A19" s="22" t="s">
        <v>76</v>
      </c>
      <c r="B19" s="22" t="s">
        <v>309</v>
      </c>
      <c r="E19" s="27" t="s">
        <v>360</v>
      </c>
      <c r="F19" s="27" t="s">
        <v>361</v>
      </c>
      <c r="G19" s="27" t="s">
        <v>304</v>
      </c>
      <c r="H19" s="27" t="s">
        <v>307</v>
      </c>
      <c r="I19" s="27" t="s">
        <v>307</v>
      </c>
    </row>
    <row r="20" spans="1:9" ht="42.75">
      <c r="A20" s="22" t="s">
        <v>77</v>
      </c>
      <c r="B20" s="22" t="s">
        <v>309</v>
      </c>
      <c r="E20" s="27" t="s">
        <v>362</v>
      </c>
      <c r="F20" s="27" t="s">
        <v>363</v>
      </c>
      <c r="G20" s="27" t="s">
        <v>304</v>
      </c>
      <c r="H20" s="27" t="s">
        <v>329</v>
      </c>
      <c r="I20" s="27" t="s">
        <v>302</v>
      </c>
    </row>
    <row r="21" spans="1:9">
      <c r="A21" s="20" t="s">
        <v>78</v>
      </c>
      <c r="B21" s="20" t="s">
        <v>169</v>
      </c>
      <c r="E21" s="27" t="s">
        <v>364</v>
      </c>
      <c r="F21" s="27" t="s">
        <v>365</v>
      </c>
      <c r="G21" s="27" t="s">
        <v>304</v>
      </c>
      <c r="H21" s="27" t="s">
        <v>329</v>
      </c>
      <c r="I21" s="27" t="s">
        <v>302</v>
      </c>
    </row>
    <row r="22" spans="1:9">
      <c r="A22" s="22" t="s">
        <v>80</v>
      </c>
      <c r="B22" s="22" t="s">
        <v>171</v>
      </c>
      <c r="E22" s="27" t="s">
        <v>366</v>
      </c>
      <c r="F22" s="27" t="s">
        <v>367</v>
      </c>
      <c r="G22" s="27" t="s">
        <v>304</v>
      </c>
      <c r="H22" s="27" t="s">
        <v>317</v>
      </c>
      <c r="I22" s="27" t="s">
        <v>317</v>
      </c>
    </row>
    <row r="23" spans="1:9">
      <c r="A23" s="21" t="s">
        <v>81</v>
      </c>
      <c r="B23" s="20" t="s">
        <v>312</v>
      </c>
      <c r="E23" s="27" t="s">
        <v>368</v>
      </c>
      <c r="F23" s="27" t="s">
        <v>369</v>
      </c>
      <c r="G23" s="27" t="s">
        <v>304</v>
      </c>
      <c r="H23" s="27" t="s">
        <v>370</v>
      </c>
      <c r="I23" s="27" t="s">
        <v>370</v>
      </c>
    </row>
    <row r="24" spans="1:9">
      <c r="A24" s="22" t="s">
        <v>83</v>
      </c>
      <c r="B24" s="22" t="s">
        <v>171</v>
      </c>
      <c r="E24" s="27" t="s">
        <v>371</v>
      </c>
      <c r="F24" s="27" t="s">
        <v>372</v>
      </c>
      <c r="G24" s="27" t="s">
        <v>304</v>
      </c>
      <c r="H24" s="27" t="s">
        <v>373</v>
      </c>
      <c r="I24" s="27" t="s">
        <v>373</v>
      </c>
    </row>
    <row r="25" spans="1:9">
      <c r="A25" s="22" t="s">
        <v>84</v>
      </c>
      <c r="B25" s="22" t="s">
        <v>174</v>
      </c>
      <c r="E25" s="27" t="s">
        <v>374</v>
      </c>
      <c r="F25" s="27" t="s">
        <v>375</v>
      </c>
      <c r="G25" s="27" t="s">
        <v>304</v>
      </c>
      <c r="H25" s="27" t="s">
        <v>373</v>
      </c>
      <c r="I25" s="27" t="s">
        <v>373</v>
      </c>
    </row>
    <row r="26" spans="1:9">
      <c r="A26" s="20" t="s">
        <v>85</v>
      </c>
      <c r="B26" s="20" t="s">
        <v>311</v>
      </c>
      <c r="E26" s="27" t="s">
        <v>376</v>
      </c>
      <c r="F26" s="27" t="s">
        <v>377</v>
      </c>
      <c r="G26" s="27" t="s">
        <v>304</v>
      </c>
      <c r="H26" s="27" t="s">
        <v>329</v>
      </c>
      <c r="I26" s="27" t="s">
        <v>302</v>
      </c>
    </row>
    <row r="27" spans="1:9">
      <c r="A27" s="22" t="s">
        <v>87</v>
      </c>
      <c r="B27" s="22" t="s">
        <v>172</v>
      </c>
      <c r="E27" s="27" t="s">
        <v>378</v>
      </c>
      <c r="F27" s="27" t="s">
        <v>379</v>
      </c>
      <c r="G27" s="27" t="s">
        <v>304</v>
      </c>
      <c r="H27" s="27" t="s">
        <v>343</v>
      </c>
      <c r="I27" s="27" t="s">
        <v>343</v>
      </c>
    </row>
    <row r="28" spans="1:9">
      <c r="A28" s="22" t="s">
        <v>88</v>
      </c>
      <c r="B28" s="22" t="s">
        <v>170</v>
      </c>
      <c r="E28" s="27" t="s">
        <v>380</v>
      </c>
      <c r="F28" s="27" t="s">
        <v>381</v>
      </c>
      <c r="G28" s="27" t="s">
        <v>304</v>
      </c>
      <c r="H28" s="27" t="s">
        <v>343</v>
      </c>
      <c r="I28" s="27" t="s">
        <v>343</v>
      </c>
    </row>
    <row r="29" spans="1:9">
      <c r="A29" s="22" t="s">
        <v>89</v>
      </c>
      <c r="B29" s="22" t="s">
        <v>172</v>
      </c>
      <c r="E29" s="27" t="s">
        <v>382</v>
      </c>
      <c r="F29" s="27" t="s">
        <v>383</v>
      </c>
      <c r="G29" s="27" t="s">
        <v>304</v>
      </c>
      <c r="H29" s="27" t="s">
        <v>384</v>
      </c>
      <c r="I29" s="27" t="s">
        <v>385</v>
      </c>
    </row>
    <row r="30" spans="1:9" ht="42.75">
      <c r="A30" s="22" t="s">
        <v>90</v>
      </c>
      <c r="B30" s="22" t="s">
        <v>309</v>
      </c>
      <c r="E30" s="27" t="s">
        <v>386</v>
      </c>
      <c r="F30" s="27" t="s">
        <v>387</v>
      </c>
      <c r="G30" s="27" t="s">
        <v>304</v>
      </c>
      <c r="H30" s="27" t="s">
        <v>317</v>
      </c>
      <c r="I30" s="27" t="s">
        <v>317</v>
      </c>
    </row>
    <row r="31" spans="1:9">
      <c r="A31" s="22" t="s">
        <v>91</v>
      </c>
      <c r="B31" s="22" t="s">
        <v>308</v>
      </c>
      <c r="E31" s="27" t="s">
        <v>388</v>
      </c>
      <c r="F31" s="27" t="s">
        <v>389</v>
      </c>
      <c r="G31" s="27" t="s">
        <v>304</v>
      </c>
      <c r="H31" s="27" t="s">
        <v>307</v>
      </c>
      <c r="I31" s="27" t="s">
        <v>390</v>
      </c>
    </row>
    <row r="32" spans="1:9">
      <c r="A32" s="22" t="s">
        <v>93</v>
      </c>
      <c r="B32" s="22" t="s">
        <v>170</v>
      </c>
      <c r="E32" s="27" t="s">
        <v>391</v>
      </c>
      <c r="F32" s="27" t="s">
        <v>392</v>
      </c>
      <c r="G32" s="27" t="s">
        <v>304</v>
      </c>
      <c r="H32" s="27" t="s">
        <v>317</v>
      </c>
      <c r="I32" s="27" t="s">
        <v>317</v>
      </c>
    </row>
    <row r="33" spans="1:9">
      <c r="A33" s="22" t="s">
        <v>2</v>
      </c>
      <c r="B33" s="22" t="s">
        <v>171</v>
      </c>
      <c r="E33" s="27" t="s">
        <v>393</v>
      </c>
      <c r="F33" s="27" t="s">
        <v>394</v>
      </c>
      <c r="G33" s="27" t="s">
        <v>304</v>
      </c>
      <c r="H33" s="27" t="s">
        <v>395</v>
      </c>
      <c r="I33" s="27" t="s">
        <v>396</v>
      </c>
    </row>
    <row r="34" spans="1:9">
      <c r="A34" s="20" t="s">
        <v>4</v>
      </c>
      <c r="B34" s="20" t="s">
        <v>171</v>
      </c>
      <c r="E34" s="27" t="s">
        <v>397</v>
      </c>
      <c r="F34" s="27" t="s">
        <v>398</v>
      </c>
      <c r="G34" s="27" t="s">
        <v>304</v>
      </c>
      <c r="H34" s="27" t="s">
        <v>320</v>
      </c>
      <c r="I34" s="27" t="s">
        <v>399</v>
      </c>
    </row>
    <row r="35" spans="1:9">
      <c r="A35" s="23" t="s">
        <v>6</v>
      </c>
      <c r="B35" s="20" t="s">
        <v>170</v>
      </c>
      <c r="E35" s="27" t="s">
        <v>400</v>
      </c>
      <c r="F35" s="27" t="s">
        <v>401</v>
      </c>
      <c r="G35" s="27" t="s">
        <v>304</v>
      </c>
      <c r="H35" s="27" t="s">
        <v>402</v>
      </c>
      <c r="I35" s="27" t="s">
        <v>403</v>
      </c>
    </row>
    <row r="36" spans="1:9" ht="42.75">
      <c r="A36" s="20" t="s">
        <v>8</v>
      </c>
      <c r="B36" s="20" t="s">
        <v>309</v>
      </c>
      <c r="E36" s="27" t="s">
        <v>404</v>
      </c>
      <c r="F36" s="27" t="s">
        <v>405</v>
      </c>
      <c r="G36" s="27" t="s">
        <v>304</v>
      </c>
      <c r="H36" s="27" t="s">
        <v>406</v>
      </c>
      <c r="I36" s="27" t="s">
        <v>407</v>
      </c>
    </row>
    <row r="37" spans="1:9" ht="42.75">
      <c r="A37" s="20" t="s">
        <v>10</v>
      </c>
      <c r="B37" s="20" t="s">
        <v>309</v>
      </c>
      <c r="E37" s="27" t="s">
        <v>408</v>
      </c>
      <c r="F37" s="27" t="s">
        <v>409</v>
      </c>
      <c r="G37" s="27" t="s">
        <v>304</v>
      </c>
      <c r="H37" s="27" t="s">
        <v>410</v>
      </c>
      <c r="I37" s="27" t="s">
        <v>411</v>
      </c>
    </row>
    <row r="38" spans="1:9">
      <c r="A38" s="20" t="s">
        <v>12</v>
      </c>
      <c r="B38" s="20" t="s">
        <v>169</v>
      </c>
      <c r="E38" s="27" t="s">
        <v>412</v>
      </c>
      <c r="F38" s="27" t="s">
        <v>413</v>
      </c>
      <c r="G38" s="27" t="s">
        <v>304</v>
      </c>
      <c r="H38" s="27" t="s">
        <v>329</v>
      </c>
      <c r="I38" s="27" t="s">
        <v>329</v>
      </c>
    </row>
    <row r="39" spans="1:9">
      <c r="A39" s="20" t="s">
        <v>14</v>
      </c>
      <c r="B39" s="18" t="s">
        <v>171</v>
      </c>
      <c r="E39" s="27" t="s">
        <v>414</v>
      </c>
      <c r="F39" s="27" t="s">
        <v>415</v>
      </c>
      <c r="G39" s="27" t="s">
        <v>304</v>
      </c>
      <c r="H39" s="27" t="s">
        <v>329</v>
      </c>
      <c r="I39" s="27" t="s">
        <v>302</v>
      </c>
    </row>
    <row r="40" spans="1:9">
      <c r="A40" s="20" t="s">
        <v>16</v>
      </c>
      <c r="B40" s="20" t="s">
        <v>171</v>
      </c>
      <c r="E40" s="27" t="s">
        <v>416</v>
      </c>
      <c r="F40" s="27" t="s">
        <v>417</v>
      </c>
      <c r="G40" s="27" t="s">
        <v>304</v>
      </c>
      <c r="H40" s="27" t="s">
        <v>329</v>
      </c>
      <c r="I40" s="27" t="s">
        <v>329</v>
      </c>
    </row>
    <row r="41" spans="1:9">
      <c r="A41" s="20" t="s">
        <v>18</v>
      </c>
      <c r="B41" s="20" t="s">
        <v>170</v>
      </c>
      <c r="E41" s="27" t="s">
        <v>418</v>
      </c>
      <c r="F41" s="27" t="s">
        <v>419</v>
      </c>
      <c r="G41" s="27" t="s">
        <v>304</v>
      </c>
      <c r="H41" s="27" t="s">
        <v>406</v>
      </c>
      <c r="I41" s="27" t="s">
        <v>399</v>
      </c>
    </row>
    <row r="42" spans="1:9">
      <c r="A42" s="20" t="s">
        <v>20</v>
      </c>
      <c r="B42" s="18" t="s">
        <v>170</v>
      </c>
      <c r="E42" s="27" t="s">
        <v>420</v>
      </c>
      <c r="F42" s="27" t="s">
        <v>421</v>
      </c>
      <c r="G42" s="27" t="s">
        <v>304</v>
      </c>
      <c r="H42" s="27" t="s">
        <v>406</v>
      </c>
      <c r="I42" s="27" t="s">
        <v>407</v>
      </c>
    </row>
    <row r="43" spans="1:9">
      <c r="A43" s="20" t="s">
        <v>22</v>
      </c>
      <c r="B43" s="18" t="s">
        <v>172</v>
      </c>
      <c r="E43" s="27" t="s">
        <v>422</v>
      </c>
      <c r="F43" s="27" t="s">
        <v>423</v>
      </c>
      <c r="G43" s="27" t="s">
        <v>304</v>
      </c>
      <c r="H43" s="27" t="s">
        <v>406</v>
      </c>
      <c r="I43" s="27" t="s">
        <v>424</v>
      </c>
    </row>
    <row r="44" spans="1:9">
      <c r="A44" s="20" t="s">
        <v>24</v>
      </c>
      <c r="B44" s="20" t="s">
        <v>172</v>
      </c>
      <c r="E44" s="27" t="s">
        <v>425</v>
      </c>
      <c r="F44" s="27" t="s">
        <v>426</v>
      </c>
      <c r="G44" s="27" t="s">
        <v>427</v>
      </c>
      <c r="H44" s="27" t="s">
        <v>406</v>
      </c>
      <c r="I44" s="27" t="s">
        <v>407</v>
      </c>
    </row>
    <row r="45" spans="1:9">
      <c r="A45" s="20" t="s">
        <v>26</v>
      </c>
      <c r="B45" s="20" t="s">
        <v>172</v>
      </c>
      <c r="E45" s="27" t="s">
        <v>428</v>
      </c>
      <c r="F45" s="27" t="s">
        <v>429</v>
      </c>
      <c r="G45" s="27" t="s">
        <v>427</v>
      </c>
      <c r="H45" s="27" t="s">
        <v>329</v>
      </c>
      <c r="I45" s="27" t="s">
        <v>302</v>
      </c>
    </row>
    <row r="46" spans="1:9">
      <c r="A46" s="20" t="s">
        <v>28</v>
      </c>
      <c r="B46" s="20" t="s">
        <v>170</v>
      </c>
      <c r="E46" s="27" t="s">
        <v>430</v>
      </c>
      <c r="F46" s="27" t="s">
        <v>431</v>
      </c>
      <c r="G46" s="27" t="s">
        <v>427</v>
      </c>
      <c r="H46" s="27" t="s">
        <v>329</v>
      </c>
      <c r="I46" s="27" t="s">
        <v>302</v>
      </c>
    </row>
    <row r="47" spans="1:9">
      <c r="A47" s="20" t="s">
        <v>30</v>
      </c>
      <c r="B47" s="20" t="s">
        <v>172</v>
      </c>
      <c r="E47" s="27" t="s">
        <v>432</v>
      </c>
      <c r="F47" s="27" t="s">
        <v>433</v>
      </c>
      <c r="G47" s="27" t="s">
        <v>434</v>
      </c>
      <c r="H47" s="27" t="s">
        <v>329</v>
      </c>
      <c r="I47" s="27" t="s">
        <v>329</v>
      </c>
    </row>
    <row r="48" spans="1:9" ht="42.75">
      <c r="A48" s="20" t="s">
        <v>36</v>
      </c>
      <c r="B48" s="20" t="s">
        <v>309</v>
      </c>
      <c r="E48" s="27" t="s">
        <v>435</v>
      </c>
      <c r="F48" s="27" t="s">
        <v>436</v>
      </c>
      <c r="G48" s="27" t="s">
        <v>434</v>
      </c>
      <c r="H48" s="27" t="s">
        <v>410</v>
      </c>
      <c r="I48" s="27" t="s">
        <v>411</v>
      </c>
    </row>
    <row r="49" spans="1:9">
      <c r="A49" s="20" t="s">
        <v>38</v>
      </c>
      <c r="B49" s="20" t="s">
        <v>170</v>
      </c>
      <c r="E49" s="27" t="s">
        <v>437</v>
      </c>
      <c r="F49" s="27" t="s">
        <v>438</v>
      </c>
      <c r="G49" s="27" t="s">
        <v>434</v>
      </c>
      <c r="H49" s="27" t="s">
        <v>333</v>
      </c>
      <c r="I49" s="27" t="s">
        <v>317</v>
      </c>
    </row>
    <row r="50" spans="1:9">
      <c r="A50" s="20" t="s">
        <v>40</v>
      </c>
      <c r="B50" s="20" t="s">
        <v>171</v>
      </c>
      <c r="E50" s="27" t="s">
        <v>439</v>
      </c>
      <c r="F50" s="27" t="s">
        <v>440</v>
      </c>
      <c r="G50" s="27" t="s">
        <v>434</v>
      </c>
      <c r="H50" s="27" t="s">
        <v>441</v>
      </c>
      <c r="I50" s="27" t="s">
        <v>441</v>
      </c>
    </row>
    <row r="51" spans="1:9" ht="28.5">
      <c r="A51" s="20" t="s">
        <v>32</v>
      </c>
      <c r="B51" s="20" t="s">
        <v>174</v>
      </c>
      <c r="E51" s="27" t="s">
        <v>442</v>
      </c>
      <c r="F51" s="27" t="s">
        <v>443</v>
      </c>
      <c r="G51" s="27" t="s">
        <v>434</v>
      </c>
      <c r="H51" s="27" t="s">
        <v>395</v>
      </c>
      <c r="I51" s="27" t="s">
        <v>444</v>
      </c>
    </row>
    <row r="52" spans="1:9" ht="28.5">
      <c r="A52" s="20" t="s">
        <v>34</v>
      </c>
      <c r="B52" s="20" t="s">
        <v>171</v>
      </c>
      <c r="E52" s="27" t="s">
        <v>445</v>
      </c>
      <c r="F52" s="27" t="s">
        <v>446</v>
      </c>
      <c r="G52" s="27" t="s">
        <v>447</v>
      </c>
      <c r="H52" s="27" t="s">
        <v>446</v>
      </c>
      <c r="I52" s="27" t="s">
        <v>446</v>
      </c>
    </row>
    <row r="53" spans="1:9" ht="28.5">
      <c r="A53" s="20" t="s">
        <v>94</v>
      </c>
      <c r="B53" s="18" t="s">
        <v>165</v>
      </c>
      <c r="E53" s="27" t="s">
        <v>448</v>
      </c>
      <c r="F53" s="27" t="s">
        <v>449</v>
      </c>
      <c r="G53" s="27" t="s">
        <v>450</v>
      </c>
      <c r="H53" s="27" t="s">
        <v>330</v>
      </c>
      <c r="I53" s="27" t="s">
        <v>330</v>
      </c>
    </row>
    <row r="54" spans="1:9" ht="28.5">
      <c r="A54" s="20" t="s">
        <v>96</v>
      </c>
      <c r="B54" s="20" t="s">
        <v>165</v>
      </c>
      <c r="E54" s="27" t="s">
        <v>451</v>
      </c>
      <c r="F54" s="27" t="s">
        <v>452</v>
      </c>
      <c r="G54" s="27" t="s">
        <v>450</v>
      </c>
      <c r="H54" s="27" t="s">
        <v>329</v>
      </c>
      <c r="I54" s="27" t="s">
        <v>302</v>
      </c>
    </row>
    <row r="55" spans="1:9" ht="28.5">
      <c r="A55" s="20" t="s">
        <v>98</v>
      </c>
      <c r="B55" s="16"/>
      <c r="E55" s="27" t="s">
        <v>453</v>
      </c>
      <c r="F55" s="27" t="s">
        <v>454</v>
      </c>
      <c r="G55" s="27" t="s">
        <v>455</v>
      </c>
      <c r="H55" s="27" t="s">
        <v>329</v>
      </c>
      <c r="I55" s="27" t="s">
        <v>302</v>
      </c>
    </row>
    <row r="56" spans="1:9">
      <c r="A56" s="20" t="s">
        <v>100</v>
      </c>
      <c r="B56" s="20" t="s">
        <v>167</v>
      </c>
      <c r="E56" s="27" t="s">
        <v>456</v>
      </c>
      <c r="F56" s="27" t="s">
        <v>457</v>
      </c>
      <c r="G56" s="27" t="s">
        <v>458</v>
      </c>
      <c r="H56" s="27" t="s">
        <v>333</v>
      </c>
      <c r="I56" s="27" t="s">
        <v>333</v>
      </c>
    </row>
    <row r="57" spans="1:9" ht="42.75">
      <c r="A57" s="20" t="s">
        <v>102</v>
      </c>
      <c r="B57" s="20" t="s">
        <v>173</v>
      </c>
      <c r="E57" s="27" t="s">
        <v>459</v>
      </c>
      <c r="F57" s="27" t="s">
        <v>460</v>
      </c>
      <c r="G57" s="27" t="s">
        <v>458</v>
      </c>
      <c r="H57" s="27" t="s">
        <v>461</v>
      </c>
      <c r="I57" s="27" t="s">
        <v>461</v>
      </c>
    </row>
    <row r="58" spans="1:9" ht="28.5">
      <c r="A58" s="20" t="s">
        <v>104</v>
      </c>
      <c r="B58" s="16"/>
      <c r="E58" s="27" t="s">
        <v>462</v>
      </c>
      <c r="F58" s="27" t="s">
        <v>463</v>
      </c>
      <c r="G58" s="27" t="s">
        <v>458</v>
      </c>
      <c r="H58" s="27" t="s">
        <v>373</v>
      </c>
      <c r="I58" s="27" t="s">
        <v>373</v>
      </c>
    </row>
    <row r="59" spans="1:9" ht="28.5">
      <c r="A59" s="20" t="s">
        <v>106</v>
      </c>
      <c r="B59" s="16"/>
      <c r="E59" s="27" t="s">
        <v>464</v>
      </c>
      <c r="F59" s="27" t="s">
        <v>465</v>
      </c>
      <c r="G59" s="27" t="s">
        <v>458</v>
      </c>
      <c r="H59" s="27" t="s">
        <v>330</v>
      </c>
      <c r="I59" s="27" t="s">
        <v>466</v>
      </c>
    </row>
    <row r="60" spans="1:9" ht="28.5">
      <c r="A60" s="20" t="s">
        <v>107</v>
      </c>
      <c r="B60" s="20" t="s">
        <v>165</v>
      </c>
      <c r="E60" s="27" t="s">
        <v>467</v>
      </c>
      <c r="F60" s="27" t="s">
        <v>468</v>
      </c>
      <c r="G60" s="27" t="s">
        <v>458</v>
      </c>
      <c r="H60" s="27" t="s">
        <v>343</v>
      </c>
      <c r="I60" s="27" t="s">
        <v>343</v>
      </c>
    </row>
    <row r="61" spans="1:9" ht="28.5">
      <c r="A61" s="20" t="s">
        <v>109</v>
      </c>
      <c r="B61" s="20" t="s">
        <v>165</v>
      </c>
      <c r="E61" s="27" t="s">
        <v>469</v>
      </c>
      <c r="F61" s="27" t="s">
        <v>470</v>
      </c>
      <c r="G61" s="27" t="s">
        <v>458</v>
      </c>
      <c r="H61" s="27" t="s">
        <v>406</v>
      </c>
      <c r="I61" s="27" t="s">
        <v>407</v>
      </c>
    </row>
    <row r="62" spans="1:9" ht="28.5">
      <c r="A62" s="20" t="s">
        <v>111</v>
      </c>
      <c r="B62" s="20" t="s">
        <v>166</v>
      </c>
      <c r="E62" s="27" t="s">
        <v>471</v>
      </c>
      <c r="F62" s="27" t="s">
        <v>472</v>
      </c>
      <c r="G62" s="27" t="s">
        <v>458</v>
      </c>
      <c r="H62" s="27" t="s">
        <v>307</v>
      </c>
      <c r="I62" s="27" t="s">
        <v>307</v>
      </c>
    </row>
    <row r="63" spans="1:9" ht="28.5">
      <c r="A63" s="20" t="s">
        <v>113</v>
      </c>
      <c r="B63" s="20" t="s">
        <v>166</v>
      </c>
      <c r="E63" s="27" t="s">
        <v>473</v>
      </c>
      <c r="F63" s="27" t="s">
        <v>474</v>
      </c>
      <c r="G63" s="27" t="s">
        <v>475</v>
      </c>
      <c r="H63" s="27" t="s">
        <v>357</v>
      </c>
      <c r="I63" s="27" t="s">
        <v>476</v>
      </c>
    </row>
    <row r="64" spans="1:9" ht="28.5">
      <c r="A64" s="20" t="s">
        <v>115</v>
      </c>
      <c r="B64" s="20" t="s">
        <v>167</v>
      </c>
      <c r="E64" s="27" t="s">
        <v>477</v>
      </c>
      <c r="F64" s="27" t="s">
        <v>478</v>
      </c>
      <c r="G64" s="27" t="s">
        <v>475</v>
      </c>
      <c r="H64" s="27" t="s">
        <v>329</v>
      </c>
      <c r="I64" s="27" t="s">
        <v>302</v>
      </c>
    </row>
    <row r="65" spans="1:9" ht="28.5">
      <c r="A65" s="20" t="s">
        <v>117</v>
      </c>
      <c r="B65" s="20" t="s">
        <v>167</v>
      </c>
      <c r="E65" s="27" t="s">
        <v>479</v>
      </c>
      <c r="F65" s="27" t="s">
        <v>480</v>
      </c>
      <c r="G65" s="27" t="s">
        <v>475</v>
      </c>
      <c r="H65" s="27" t="s">
        <v>343</v>
      </c>
      <c r="I65" s="27" t="s">
        <v>343</v>
      </c>
    </row>
    <row r="66" spans="1:9">
      <c r="A66" s="20" t="s">
        <v>119</v>
      </c>
      <c r="B66" s="20" t="s">
        <v>308</v>
      </c>
      <c r="E66" s="27" t="s">
        <v>481</v>
      </c>
      <c r="F66" s="27" t="s">
        <v>482</v>
      </c>
      <c r="G66" s="27" t="s">
        <v>475</v>
      </c>
      <c r="H66" s="27" t="s">
        <v>483</v>
      </c>
      <c r="I66" s="27" t="s">
        <v>484</v>
      </c>
    </row>
    <row r="67" spans="1:9" ht="28.5">
      <c r="A67" s="20" t="s">
        <v>120</v>
      </c>
      <c r="B67" s="20" t="s">
        <v>170</v>
      </c>
      <c r="E67" s="27" t="s">
        <v>485</v>
      </c>
      <c r="F67" s="27" t="s">
        <v>486</v>
      </c>
      <c r="G67" s="27" t="s">
        <v>475</v>
      </c>
      <c r="H67" s="27" t="s">
        <v>384</v>
      </c>
      <c r="I67" s="27" t="s">
        <v>385</v>
      </c>
    </row>
    <row r="68" spans="1:9" ht="28.5">
      <c r="A68" s="20" t="s">
        <v>122</v>
      </c>
      <c r="B68" s="20" t="s">
        <v>170</v>
      </c>
      <c r="E68" s="27" t="s">
        <v>487</v>
      </c>
      <c r="F68" s="27" t="s">
        <v>488</v>
      </c>
      <c r="G68" s="27" t="s">
        <v>475</v>
      </c>
      <c r="H68" s="27" t="s">
        <v>406</v>
      </c>
      <c r="I68" s="27" t="s">
        <v>407</v>
      </c>
    </row>
    <row r="69" spans="1:9" ht="28.5">
      <c r="A69" s="20" t="s">
        <v>124</v>
      </c>
      <c r="B69" s="16"/>
      <c r="E69" s="27" t="s">
        <v>489</v>
      </c>
      <c r="F69" s="27" t="s">
        <v>490</v>
      </c>
      <c r="G69" s="27" t="s">
        <v>475</v>
      </c>
      <c r="H69" s="27" t="s">
        <v>406</v>
      </c>
      <c r="I69" s="27" t="s">
        <v>491</v>
      </c>
    </row>
    <row r="70" spans="1:9" ht="28.5">
      <c r="A70" s="20" t="s">
        <v>126</v>
      </c>
      <c r="B70" s="20" t="s">
        <v>170</v>
      </c>
      <c r="E70" s="27" t="s">
        <v>492</v>
      </c>
      <c r="F70" s="27" t="s">
        <v>493</v>
      </c>
      <c r="G70" s="27" t="s">
        <v>475</v>
      </c>
      <c r="H70" s="27" t="s">
        <v>307</v>
      </c>
      <c r="I70" s="27" t="s">
        <v>491</v>
      </c>
    </row>
    <row r="71" spans="1:9" ht="28.5">
      <c r="A71" s="20" t="s">
        <v>128</v>
      </c>
      <c r="B71" s="20" t="s">
        <v>170</v>
      </c>
      <c r="E71" s="27" t="s">
        <v>494</v>
      </c>
      <c r="F71" s="27" t="s">
        <v>495</v>
      </c>
      <c r="G71" s="27" t="s">
        <v>475</v>
      </c>
      <c r="H71" s="27" t="s">
        <v>317</v>
      </c>
      <c r="I71" s="27" t="s">
        <v>317</v>
      </c>
    </row>
    <row r="72" spans="1:9" ht="28.5">
      <c r="A72" s="20" t="s">
        <v>130</v>
      </c>
      <c r="B72" s="20" t="s">
        <v>167</v>
      </c>
      <c r="E72" s="27" t="s">
        <v>496</v>
      </c>
      <c r="F72" s="27" t="s">
        <v>497</v>
      </c>
      <c r="G72" s="27" t="s">
        <v>475</v>
      </c>
      <c r="H72" s="27" t="s">
        <v>317</v>
      </c>
      <c r="I72" s="27" t="s">
        <v>317</v>
      </c>
    </row>
    <row r="73" spans="1:9" ht="28.5">
      <c r="A73" s="20" t="s">
        <v>132</v>
      </c>
      <c r="B73" s="20" t="s">
        <v>170</v>
      </c>
      <c r="E73" s="27" t="s">
        <v>498</v>
      </c>
      <c r="F73" s="27" t="s">
        <v>499</v>
      </c>
      <c r="G73" s="27" t="s">
        <v>475</v>
      </c>
      <c r="H73" s="27" t="s">
        <v>320</v>
      </c>
      <c r="I73" s="27" t="s">
        <v>320</v>
      </c>
    </row>
    <row r="74" spans="1:9" ht="28.5">
      <c r="A74" s="20" t="s">
        <v>134</v>
      </c>
      <c r="B74" s="20" t="s">
        <v>167</v>
      </c>
      <c r="E74" s="27" t="s">
        <v>500</v>
      </c>
      <c r="F74" s="27" t="s">
        <v>501</v>
      </c>
      <c r="G74" s="27" t="s">
        <v>475</v>
      </c>
      <c r="H74" s="27" t="s">
        <v>213</v>
      </c>
      <c r="I74" s="27" t="s">
        <v>213</v>
      </c>
    </row>
    <row r="75" spans="1:9">
      <c r="A75" s="20" t="s">
        <v>310</v>
      </c>
      <c r="B75" s="21"/>
      <c r="E75" s="27" t="s">
        <v>502</v>
      </c>
      <c r="F75" s="27" t="s">
        <v>503</v>
      </c>
      <c r="G75" s="27" t="s">
        <v>475</v>
      </c>
      <c r="H75" s="27" t="s">
        <v>441</v>
      </c>
      <c r="I75" s="27" t="s">
        <v>441</v>
      </c>
    </row>
    <row r="76" spans="1:9">
      <c r="E76" s="27" t="s">
        <v>504</v>
      </c>
      <c r="F76" s="27" t="s">
        <v>505</v>
      </c>
      <c r="G76" s="27" t="s">
        <v>475</v>
      </c>
      <c r="H76" s="27" t="s">
        <v>406</v>
      </c>
      <c r="I76" s="27" t="s">
        <v>406</v>
      </c>
    </row>
    <row r="77" spans="1:9">
      <c r="E77" s="27" t="s">
        <v>506</v>
      </c>
      <c r="F77" s="27" t="s">
        <v>507</v>
      </c>
      <c r="G77" s="27" t="s">
        <v>475</v>
      </c>
      <c r="H77" s="27" t="s">
        <v>406</v>
      </c>
      <c r="I77" s="27" t="s">
        <v>407</v>
      </c>
    </row>
    <row r="78" spans="1:9">
      <c r="E78" s="27" t="s">
        <v>508</v>
      </c>
      <c r="F78" s="27" t="s">
        <v>509</v>
      </c>
      <c r="G78" s="27" t="s">
        <v>510</v>
      </c>
      <c r="H78" s="27" t="s">
        <v>305</v>
      </c>
      <c r="I78" s="27" t="s">
        <v>511</v>
      </c>
    </row>
    <row r="79" spans="1:9">
      <c r="E79" s="27" t="s">
        <v>512</v>
      </c>
      <c r="F79" s="27" t="s">
        <v>513</v>
      </c>
      <c r="G79" s="27" t="s">
        <v>510</v>
      </c>
      <c r="H79" s="27" t="s">
        <v>514</v>
      </c>
      <c r="I79" s="27" t="s">
        <v>514</v>
      </c>
    </row>
    <row r="80" spans="1:9">
      <c r="E80" s="27" t="s">
        <v>515</v>
      </c>
      <c r="F80" s="27" t="s">
        <v>516</v>
      </c>
      <c r="G80" s="27" t="s">
        <v>510</v>
      </c>
      <c r="H80" s="27" t="s">
        <v>357</v>
      </c>
      <c r="I80" s="27" t="s">
        <v>517</v>
      </c>
    </row>
    <row r="81" spans="5:9">
      <c r="E81" s="27" t="s">
        <v>518</v>
      </c>
      <c r="F81" s="27" t="s">
        <v>519</v>
      </c>
      <c r="G81" s="27" t="s">
        <v>510</v>
      </c>
      <c r="H81" s="27" t="s">
        <v>333</v>
      </c>
      <c r="I81" s="27" t="s">
        <v>317</v>
      </c>
    </row>
    <row r="82" spans="5:9">
      <c r="E82" s="27" t="s">
        <v>520</v>
      </c>
      <c r="F82" s="27" t="s">
        <v>521</v>
      </c>
      <c r="G82" s="27" t="s">
        <v>510</v>
      </c>
      <c r="H82" s="27" t="s">
        <v>406</v>
      </c>
      <c r="I82" s="27" t="s">
        <v>399</v>
      </c>
    </row>
    <row r="83" spans="5:9">
      <c r="E83" s="27" t="s">
        <v>522</v>
      </c>
      <c r="F83" s="27" t="s">
        <v>523</v>
      </c>
      <c r="G83" s="27" t="s">
        <v>510</v>
      </c>
      <c r="H83" s="27" t="s">
        <v>406</v>
      </c>
      <c r="I83" s="27" t="s">
        <v>399</v>
      </c>
    </row>
    <row r="84" spans="5:9">
      <c r="E84" s="27" t="s">
        <v>524</v>
      </c>
      <c r="F84" s="27" t="s">
        <v>525</v>
      </c>
      <c r="G84" s="27" t="s">
        <v>510</v>
      </c>
      <c r="H84" s="27" t="s">
        <v>406</v>
      </c>
      <c r="I84" s="27" t="s">
        <v>399</v>
      </c>
    </row>
    <row r="85" spans="5:9">
      <c r="E85" s="27" t="s">
        <v>526</v>
      </c>
      <c r="F85" s="27" t="s">
        <v>527</v>
      </c>
      <c r="G85" s="27" t="s">
        <v>528</v>
      </c>
      <c r="H85" s="27" t="s">
        <v>317</v>
      </c>
      <c r="I85" s="27" t="s">
        <v>317</v>
      </c>
    </row>
    <row r="86" spans="5:9">
      <c r="E86" s="27" t="s">
        <v>529</v>
      </c>
      <c r="F86" s="27" t="s">
        <v>530</v>
      </c>
      <c r="G86" s="27" t="s">
        <v>528</v>
      </c>
      <c r="H86" s="27" t="s">
        <v>330</v>
      </c>
      <c r="I86" s="27" t="s">
        <v>330</v>
      </c>
    </row>
    <row r="87" spans="5:9">
      <c r="E87" s="27" t="s">
        <v>531</v>
      </c>
      <c r="F87" s="27" t="s">
        <v>532</v>
      </c>
      <c r="G87" s="27" t="s">
        <v>528</v>
      </c>
      <c r="H87" s="27" t="s">
        <v>343</v>
      </c>
      <c r="I87" s="27" t="s">
        <v>343</v>
      </c>
    </row>
    <row r="88" spans="5:9">
      <c r="E88" s="27" t="s">
        <v>533</v>
      </c>
      <c r="F88" s="27" t="s">
        <v>534</v>
      </c>
      <c r="G88" s="27" t="s">
        <v>528</v>
      </c>
      <c r="H88" s="27" t="s">
        <v>535</v>
      </c>
      <c r="I88" s="27" t="s">
        <v>536</v>
      </c>
    </row>
    <row r="89" spans="5:9">
      <c r="E89" s="27" t="s">
        <v>537</v>
      </c>
      <c r="F89" s="27" t="s">
        <v>538</v>
      </c>
      <c r="G89" s="27" t="s">
        <v>528</v>
      </c>
      <c r="H89" s="27" t="s">
        <v>307</v>
      </c>
      <c r="I89" s="27" t="s">
        <v>399</v>
      </c>
    </row>
    <row r="90" spans="5:9">
      <c r="E90" s="27" t="s">
        <v>539</v>
      </c>
      <c r="F90" s="27" t="s">
        <v>540</v>
      </c>
      <c r="G90" s="27" t="s">
        <v>528</v>
      </c>
      <c r="H90" s="27" t="s">
        <v>329</v>
      </c>
      <c r="I90" s="27" t="s">
        <v>302</v>
      </c>
    </row>
    <row r="91" spans="5:9">
      <c r="E91" s="27" t="s">
        <v>541</v>
      </c>
      <c r="F91" s="27" t="s">
        <v>542</v>
      </c>
      <c r="G91" s="27" t="s">
        <v>528</v>
      </c>
      <c r="H91" s="27" t="s">
        <v>317</v>
      </c>
      <c r="I91" s="27" t="s">
        <v>317</v>
      </c>
    </row>
    <row r="92" spans="5:9">
      <c r="E92" s="27" t="s">
        <v>543</v>
      </c>
      <c r="F92" s="27" t="s">
        <v>544</v>
      </c>
      <c r="G92" s="27" t="s">
        <v>528</v>
      </c>
      <c r="H92" s="27" t="s">
        <v>370</v>
      </c>
      <c r="I92" s="27" t="s">
        <v>370</v>
      </c>
    </row>
    <row r="93" spans="5:9">
      <c r="E93" s="27" t="s">
        <v>545</v>
      </c>
      <c r="F93" s="27" t="s">
        <v>546</v>
      </c>
      <c r="G93" s="27" t="s">
        <v>528</v>
      </c>
      <c r="H93" s="27" t="s">
        <v>343</v>
      </c>
      <c r="I93" s="27" t="s">
        <v>343</v>
      </c>
    </row>
    <row r="94" spans="5:9">
      <c r="E94" s="27" t="s">
        <v>547</v>
      </c>
      <c r="F94" s="27" t="s">
        <v>548</v>
      </c>
      <c r="G94" s="27" t="s">
        <v>528</v>
      </c>
      <c r="H94" s="27" t="s">
        <v>329</v>
      </c>
      <c r="I94" s="27" t="s">
        <v>302</v>
      </c>
    </row>
    <row r="95" spans="5:9">
      <c r="E95" s="27" t="s">
        <v>549</v>
      </c>
      <c r="F95" s="27" t="s">
        <v>550</v>
      </c>
      <c r="G95" s="27" t="s">
        <v>528</v>
      </c>
      <c r="H95" s="27" t="s">
        <v>329</v>
      </c>
      <c r="I95" s="27" t="s">
        <v>302</v>
      </c>
    </row>
    <row r="96" spans="5:9">
      <c r="E96" s="27" t="s">
        <v>551</v>
      </c>
      <c r="F96" s="27" t="s">
        <v>552</v>
      </c>
      <c r="G96" s="27" t="s">
        <v>528</v>
      </c>
      <c r="H96" s="27" t="s">
        <v>190</v>
      </c>
      <c r="I96" s="27" t="s">
        <v>190</v>
      </c>
    </row>
    <row r="97" spans="5:9">
      <c r="E97" s="27" t="s">
        <v>553</v>
      </c>
      <c r="F97" s="27" t="s">
        <v>554</v>
      </c>
      <c r="G97" s="27" t="s">
        <v>528</v>
      </c>
      <c r="H97" s="27" t="s">
        <v>343</v>
      </c>
      <c r="I97" s="27" t="s">
        <v>343</v>
      </c>
    </row>
    <row r="98" spans="5:9">
      <c r="E98" s="27" t="s">
        <v>555</v>
      </c>
      <c r="F98" s="27" t="s">
        <v>556</v>
      </c>
      <c r="G98" s="27" t="s">
        <v>528</v>
      </c>
      <c r="H98" s="27" t="s">
        <v>330</v>
      </c>
      <c r="I98" s="27" t="s">
        <v>330</v>
      </c>
    </row>
    <row r="99" spans="5:9">
      <c r="E99" s="27" t="s">
        <v>557</v>
      </c>
      <c r="F99" s="27" t="s">
        <v>558</v>
      </c>
      <c r="G99" s="27" t="s">
        <v>528</v>
      </c>
      <c r="H99" s="27" t="s">
        <v>406</v>
      </c>
      <c r="I99" s="27" t="s">
        <v>399</v>
      </c>
    </row>
    <row r="100" spans="5:9">
      <c r="E100" s="27" t="s">
        <v>559</v>
      </c>
      <c r="F100" s="27" t="s">
        <v>560</v>
      </c>
      <c r="G100" s="27" t="s">
        <v>528</v>
      </c>
      <c r="H100" s="27" t="s">
        <v>343</v>
      </c>
      <c r="I100" s="27" t="s">
        <v>343</v>
      </c>
    </row>
    <row r="101" spans="5:9">
      <c r="E101" s="27" t="s">
        <v>561</v>
      </c>
      <c r="F101" s="27" t="s">
        <v>562</v>
      </c>
      <c r="G101" s="27" t="s">
        <v>528</v>
      </c>
      <c r="H101" s="27" t="s">
        <v>370</v>
      </c>
      <c r="I101" s="27" t="s">
        <v>370</v>
      </c>
    </row>
    <row r="102" spans="5:9">
      <c r="E102" s="27" t="s">
        <v>563</v>
      </c>
      <c r="F102" s="27" t="s">
        <v>564</v>
      </c>
      <c r="G102" s="27" t="s">
        <v>528</v>
      </c>
      <c r="H102" s="27" t="s">
        <v>317</v>
      </c>
      <c r="I102" s="27" t="s">
        <v>317</v>
      </c>
    </row>
    <row r="103" spans="5:9">
      <c r="E103" s="27" t="s">
        <v>565</v>
      </c>
      <c r="F103" s="27" t="s">
        <v>566</v>
      </c>
      <c r="G103" s="27" t="s">
        <v>528</v>
      </c>
      <c r="H103" s="27" t="s">
        <v>329</v>
      </c>
      <c r="I103" s="27" t="s">
        <v>302</v>
      </c>
    </row>
  </sheetData>
  <sortState ref="A1:B77">
    <sortCondition ref="A7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clauro</dc:creator>
  <cp:lastModifiedBy>clauro</cp:lastModifiedBy>
  <dcterms:created xsi:type="dcterms:W3CDTF">2015-02-11T14:30:49Z</dcterms:created>
  <dcterms:modified xsi:type="dcterms:W3CDTF">2015-02-11T19:14:15Z</dcterms:modified>
</cp:coreProperties>
</file>